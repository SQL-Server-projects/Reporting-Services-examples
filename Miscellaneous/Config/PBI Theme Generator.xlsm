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tony.duguid\Downloads\"/>
    </mc:Choice>
  </mc:AlternateContent>
  <xr:revisionPtr revIDLastSave="0" documentId="13_ncr:1_{AEC773A5-1629-4623-AB72-B308D7AE4D5F}" xr6:coauthVersionLast="41" xr6:coauthVersionMax="41" xr10:uidLastSave="{00000000-0000-0000-0000-000000000000}"/>
  <bookViews>
    <workbookView xWindow="-120" yWindow="-120" windowWidth="25440" windowHeight="15540" activeTab="1" xr2:uid="{00000000-000D-0000-FFFF-FFFF00000000}"/>
  </bookViews>
  <sheets>
    <sheet name="Notes" sheetId="6" r:id="rId1"/>
    <sheet name="Design" sheetId="1" r:id="rId2"/>
    <sheet name="Elements" sheetId="3" state="hidden" r:id="rId3"/>
  </sheets>
  <definedNames>
    <definedName name="accent_1">Design!$C$8</definedName>
    <definedName name="accent_2">Design!$D$8</definedName>
    <definedName name="accent_3">Design!$E$8</definedName>
    <definedName name="accent_4">Design!$F$8</definedName>
    <definedName name="accent_5">Design!$G$8</definedName>
    <definedName name="accent_6">Design!$H$8</definedName>
    <definedName name="dark_1">Design!$C$9</definedName>
    <definedName name="dark_2">Design!$E$9</definedName>
    <definedName name="followed_hyperlink">Design!$H$9</definedName>
    <definedName name="Font">Design!$H$21</definedName>
    <definedName name="hyperlink">Design!$G$9</definedName>
    <definedName name="light_1">Design!$D$9</definedName>
    <definedName name="light_2">Design!$F$9</definedName>
    <definedName name="TextForJSON">Design!$AA$3</definedName>
    <definedName name="ThemeName">Design!$C$3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18" i="1" l="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17" i="1"/>
  <c r="C64" i="1"/>
  <c r="E64" i="1"/>
  <c r="G64" i="1"/>
  <c r="C65" i="1"/>
  <c r="E65" i="1"/>
  <c r="G65" i="1"/>
  <c r="C66" i="1"/>
  <c r="E66" i="1"/>
  <c r="G66" i="1"/>
  <c r="C67" i="1"/>
  <c r="E67" i="1"/>
  <c r="G67" i="1"/>
  <c r="C68" i="1"/>
  <c r="E68" i="1"/>
  <c r="G68" i="1"/>
  <c r="C69" i="1"/>
  <c r="E69" i="1"/>
  <c r="G69" i="1"/>
  <c r="C70" i="1"/>
  <c r="E70" i="1"/>
  <c r="G70" i="1"/>
  <c r="C71" i="1"/>
  <c r="E71" i="1"/>
  <c r="G71" i="1"/>
  <c r="C72" i="1"/>
  <c r="E72" i="1"/>
  <c r="G72" i="1"/>
  <c r="C73" i="1"/>
  <c r="E73" i="1"/>
  <c r="G73" i="1"/>
  <c r="C74" i="1"/>
  <c r="E74" i="1"/>
  <c r="G74" i="1"/>
  <c r="C75" i="1"/>
  <c r="E75" i="1"/>
  <c r="G75" i="1"/>
  <c r="C76" i="1"/>
  <c r="E76" i="1"/>
  <c r="G76" i="1"/>
  <c r="C77" i="1"/>
  <c r="E77" i="1"/>
  <c r="G77" i="1"/>
  <c r="C78" i="1"/>
  <c r="E78" i="1"/>
  <c r="G78" i="1"/>
  <c r="C79" i="1"/>
  <c r="E79" i="1"/>
  <c r="G79" i="1"/>
  <c r="C80" i="1"/>
  <c r="E80" i="1"/>
  <c r="G80" i="1"/>
  <c r="C81" i="1"/>
  <c r="E81" i="1"/>
  <c r="G81" i="1"/>
  <c r="C82" i="1"/>
  <c r="E82" i="1"/>
  <c r="G82" i="1"/>
  <c r="C83" i="1"/>
  <c r="E83" i="1"/>
  <c r="G83" i="1"/>
  <c r="C84" i="1"/>
  <c r="E84" i="1"/>
  <c r="G84" i="1"/>
  <c r="C85" i="1"/>
  <c r="E85" i="1"/>
  <c r="G85" i="1"/>
  <c r="C86" i="1"/>
  <c r="E86" i="1"/>
  <c r="G86" i="1"/>
  <c r="C87" i="1"/>
  <c r="E87" i="1"/>
  <c r="G87" i="1"/>
  <c r="C88" i="1"/>
  <c r="E88" i="1"/>
  <c r="G88" i="1"/>
  <c r="C89" i="1"/>
  <c r="E89" i="1"/>
  <c r="G89" i="1"/>
  <c r="C90" i="1"/>
  <c r="E90" i="1"/>
  <c r="G90" i="1"/>
  <c r="C91" i="1"/>
  <c r="E91" i="1"/>
  <c r="G91" i="1"/>
  <c r="C92" i="1"/>
  <c r="E92" i="1"/>
  <c r="G92" i="1"/>
  <c r="C93" i="1"/>
  <c r="E93" i="1"/>
  <c r="G93" i="1"/>
  <c r="C94" i="1"/>
  <c r="E94" i="1"/>
  <c r="G94" i="1"/>
  <c r="C95" i="1"/>
  <c r="E95" i="1"/>
  <c r="G95" i="1"/>
  <c r="C96" i="1"/>
  <c r="E96" i="1"/>
  <c r="G96" i="1"/>
  <c r="C97" i="1"/>
  <c r="E97" i="1"/>
  <c r="G97" i="1"/>
  <c r="C98" i="1"/>
  <c r="E98" i="1"/>
  <c r="G98" i="1"/>
  <c r="C99" i="1"/>
  <c r="E99" i="1"/>
  <c r="G99" i="1"/>
  <c r="C100" i="1"/>
  <c r="E100" i="1"/>
  <c r="G100" i="1"/>
  <c r="C101" i="1"/>
  <c r="E101" i="1"/>
  <c r="G101" i="1"/>
  <c r="C102" i="1"/>
  <c r="E102" i="1"/>
  <c r="G102" i="1"/>
  <c r="C103" i="1"/>
  <c r="E103" i="1"/>
  <c r="G103" i="1"/>
  <c r="C104" i="1"/>
  <c r="E104" i="1"/>
  <c r="G104" i="1"/>
  <c r="C105" i="1"/>
  <c r="E105" i="1"/>
  <c r="G105" i="1"/>
  <c r="C106" i="1"/>
  <c r="E106" i="1"/>
  <c r="G106" i="1"/>
  <c r="C107" i="1"/>
  <c r="E107" i="1"/>
  <c r="G107" i="1"/>
  <c r="C108" i="1"/>
  <c r="E108" i="1"/>
  <c r="G108" i="1"/>
  <c r="C109" i="1"/>
  <c r="E109" i="1"/>
  <c r="G109" i="1"/>
  <c r="C110" i="1"/>
  <c r="E110" i="1"/>
  <c r="G110" i="1"/>
  <c r="C111" i="1"/>
  <c r="E111" i="1"/>
  <c r="G111" i="1"/>
  <c r="C112" i="1"/>
  <c r="E112" i="1"/>
  <c r="G112" i="1"/>
  <c r="C113" i="1"/>
  <c r="E113" i="1"/>
  <c r="G113" i="1"/>
  <c r="C114" i="1"/>
  <c r="E114" i="1"/>
  <c r="G114" i="1"/>
  <c r="C115" i="1"/>
  <c r="E115" i="1"/>
  <c r="G115" i="1"/>
  <c r="C116" i="1"/>
  <c r="E116" i="1"/>
  <c r="G116" i="1"/>
  <c r="C117" i="1"/>
  <c r="E117" i="1"/>
  <c r="G117" i="1"/>
  <c r="C118" i="1"/>
  <c r="E118" i="1"/>
  <c r="G118" i="1"/>
  <c r="C119" i="1"/>
  <c r="E119" i="1"/>
  <c r="G119" i="1"/>
  <c r="C120" i="1"/>
  <c r="E120" i="1"/>
  <c r="G120" i="1"/>
  <c r="C121" i="1"/>
  <c r="E121" i="1"/>
  <c r="G121" i="1"/>
  <c r="C122" i="1"/>
  <c r="E122" i="1"/>
  <c r="G122" i="1"/>
  <c r="C123" i="1"/>
  <c r="E123" i="1"/>
  <c r="G123" i="1"/>
  <c r="C124" i="1"/>
  <c r="E124" i="1"/>
  <c r="G124" i="1"/>
  <c r="C125" i="1"/>
  <c r="E125" i="1"/>
  <c r="G125" i="1"/>
  <c r="C126" i="1"/>
  <c r="E126" i="1"/>
  <c r="G126" i="1"/>
  <c r="C127" i="1"/>
  <c r="E127" i="1"/>
  <c r="G127" i="1"/>
  <c r="C128" i="1"/>
  <c r="E128" i="1"/>
  <c r="G128" i="1"/>
  <c r="C129" i="1"/>
  <c r="E129" i="1"/>
  <c r="G129" i="1"/>
  <c r="C130" i="1"/>
  <c r="E130" i="1"/>
  <c r="G130" i="1"/>
  <c r="C131" i="1"/>
  <c r="E131" i="1"/>
  <c r="G131" i="1"/>
  <c r="C132" i="1"/>
  <c r="E132" i="1"/>
  <c r="G132" i="1"/>
  <c r="C133" i="1"/>
  <c r="E133" i="1"/>
  <c r="G133" i="1"/>
  <c r="C134" i="1"/>
  <c r="E134" i="1"/>
  <c r="G134" i="1"/>
  <c r="C135" i="1"/>
  <c r="E135" i="1"/>
  <c r="G135" i="1"/>
  <c r="C136" i="1"/>
  <c r="E136" i="1"/>
  <c r="G136" i="1"/>
  <c r="C137" i="1"/>
  <c r="E137" i="1"/>
  <c r="G137" i="1"/>
  <c r="C138" i="1"/>
  <c r="E138" i="1"/>
  <c r="G138" i="1"/>
  <c r="C139" i="1"/>
  <c r="E139" i="1"/>
  <c r="G139" i="1"/>
  <c r="C140" i="1"/>
  <c r="E140" i="1"/>
  <c r="G140" i="1"/>
  <c r="C141" i="1"/>
  <c r="E141" i="1"/>
  <c r="G141" i="1"/>
  <c r="C142" i="1"/>
  <c r="E142" i="1"/>
  <c r="G142" i="1"/>
  <c r="C143" i="1"/>
  <c r="E143" i="1"/>
  <c r="G143" i="1"/>
  <c r="C144" i="1"/>
  <c r="E144" i="1"/>
  <c r="G144" i="1"/>
  <c r="C145" i="1"/>
  <c r="E145" i="1"/>
  <c r="G145" i="1"/>
  <c r="C146" i="1"/>
  <c r="E146" i="1"/>
  <c r="G146" i="1"/>
  <c r="C147" i="1"/>
  <c r="E147" i="1"/>
  <c r="G147" i="1"/>
  <c r="C148" i="1"/>
  <c r="E148" i="1"/>
  <c r="G148" i="1"/>
  <c r="C149" i="1"/>
  <c r="E149" i="1"/>
  <c r="G149" i="1"/>
  <c r="C150" i="1"/>
  <c r="E150" i="1"/>
  <c r="G150" i="1"/>
  <c r="C151" i="1"/>
  <c r="E151" i="1"/>
  <c r="G151" i="1"/>
  <c r="C152" i="1"/>
  <c r="E152" i="1"/>
  <c r="G152" i="1"/>
  <c r="C153" i="1"/>
  <c r="E153" i="1"/>
  <c r="G153" i="1"/>
  <c r="C154" i="1"/>
  <c r="E154" i="1"/>
  <c r="G154" i="1"/>
  <c r="C155" i="1"/>
  <c r="E155" i="1"/>
  <c r="G155" i="1"/>
  <c r="C156" i="1"/>
  <c r="E156" i="1"/>
  <c r="G156" i="1"/>
  <c r="C157" i="1"/>
  <c r="E157" i="1"/>
  <c r="G157" i="1"/>
  <c r="C158" i="1"/>
  <c r="E158" i="1"/>
  <c r="G158" i="1"/>
  <c r="C159" i="1"/>
  <c r="E159" i="1"/>
  <c r="G159" i="1"/>
  <c r="C160" i="1"/>
  <c r="E160" i="1"/>
  <c r="G160" i="1"/>
  <c r="C161" i="1"/>
  <c r="E161" i="1"/>
  <c r="G161" i="1"/>
  <c r="C162" i="1"/>
  <c r="E162" i="1"/>
  <c r="G162" i="1"/>
  <c r="C163" i="1"/>
  <c r="E163" i="1"/>
  <c r="G163" i="1"/>
  <c r="C164" i="1"/>
  <c r="E164" i="1"/>
  <c r="G164" i="1"/>
  <c r="C165" i="1"/>
  <c r="E165" i="1"/>
  <c r="G165" i="1"/>
  <c r="C166" i="1"/>
  <c r="E166" i="1"/>
  <c r="G166" i="1"/>
  <c r="C167" i="1"/>
  <c r="E167" i="1"/>
  <c r="G167" i="1"/>
  <c r="C168" i="1"/>
  <c r="E168" i="1"/>
  <c r="G168" i="1"/>
  <c r="C169" i="1"/>
  <c r="E169" i="1"/>
  <c r="G169" i="1"/>
  <c r="C170" i="1"/>
  <c r="E170" i="1"/>
  <c r="G170" i="1"/>
  <c r="C171" i="1"/>
  <c r="E171" i="1"/>
  <c r="G171" i="1"/>
  <c r="C172" i="1"/>
  <c r="E172" i="1"/>
  <c r="G172" i="1"/>
  <c r="C173" i="1"/>
  <c r="E173" i="1"/>
  <c r="G173" i="1"/>
  <c r="C174" i="1"/>
  <c r="E174" i="1"/>
  <c r="G174" i="1"/>
  <c r="C175" i="1"/>
  <c r="E175" i="1"/>
  <c r="G175" i="1"/>
  <c r="C176" i="1"/>
  <c r="E176" i="1"/>
  <c r="G176" i="1"/>
  <c r="C177" i="1"/>
  <c r="E177" i="1"/>
  <c r="G177" i="1"/>
  <c r="C178" i="1"/>
  <c r="E178" i="1"/>
  <c r="G178" i="1"/>
  <c r="C179" i="1"/>
  <c r="E179" i="1"/>
  <c r="G179" i="1"/>
  <c r="C180" i="1"/>
  <c r="E180" i="1"/>
  <c r="G180" i="1"/>
  <c r="C181" i="1"/>
  <c r="E181" i="1"/>
  <c r="G181" i="1"/>
  <c r="C182" i="1"/>
  <c r="E182" i="1"/>
  <c r="G182" i="1"/>
  <c r="C183" i="1"/>
  <c r="E183" i="1"/>
  <c r="G183" i="1"/>
  <c r="C184" i="1"/>
  <c r="E184" i="1"/>
  <c r="G184" i="1"/>
  <c r="C185" i="1"/>
  <c r="E185" i="1"/>
  <c r="G185" i="1"/>
  <c r="C186" i="1"/>
  <c r="E186" i="1"/>
  <c r="G186" i="1"/>
  <c r="C187" i="1"/>
  <c r="E187" i="1"/>
  <c r="G187" i="1"/>
  <c r="C188" i="1"/>
  <c r="E188" i="1"/>
  <c r="G188" i="1"/>
  <c r="C189" i="1"/>
  <c r="E189" i="1"/>
  <c r="G189" i="1"/>
  <c r="C190" i="1"/>
  <c r="E190" i="1"/>
  <c r="G190" i="1"/>
  <c r="C191" i="1"/>
  <c r="E191" i="1"/>
  <c r="G191" i="1"/>
  <c r="C192" i="1"/>
  <c r="E192" i="1"/>
  <c r="G192" i="1"/>
  <c r="C193" i="1"/>
  <c r="E193" i="1"/>
  <c r="G193" i="1"/>
  <c r="C194" i="1"/>
  <c r="E194" i="1"/>
  <c r="G194" i="1"/>
  <c r="C195" i="1"/>
  <c r="E195" i="1"/>
  <c r="G195" i="1"/>
  <c r="C196" i="1"/>
  <c r="E196" i="1"/>
  <c r="G196" i="1"/>
  <c r="C197" i="1"/>
  <c r="E197" i="1"/>
  <c r="G197" i="1"/>
  <c r="C198" i="1"/>
  <c r="E198" i="1"/>
  <c r="G198" i="1"/>
  <c r="C199" i="1"/>
  <c r="E199" i="1"/>
  <c r="G199" i="1"/>
  <c r="C200" i="1"/>
  <c r="E200" i="1"/>
  <c r="G200" i="1"/>
  <c r="C201" i="1"/>
  <c r="E201" i="1"/>
  <c r="G201" i="1"/>
  <c r="C202" i="1"/>
  <c r="E202" i="1"/>
  <c r="G202" i="1"/>
  <c r="C203" i="1"/>
  <c r="E203" i="1"/>
  <c r="G203" i="1"/>
  <c r="C204" i="1"/>
  <c r="E204" i="1"/>
  <c r="G204" i="1"/>
  <c r="C205" i="1"/>
  <c r="E205" i="1"/>
  <c r="G205" i="1"/>
  <c r="C206" i="1"/>
  <c r="E206" i="1"/>
  <c r="G206" i="1"/>
  <c r="C207" i="1"/>
  <c r="E207" i="1"/>
  <c r="G207" i="1"/>
  <c r="C208" i="1"/>
  <c r="E208" i="1"/>
  <c r="G208" i="1"/>
  <c r="C209" i="1"/>
  <c r="E209" i="1"/>
  <c r="G209" i="1"/>
  <c r="C210" i="1"/>
  <c r="E210" i="1"/>
  <c r="G210" i="1"/>
  <c r="C211" i="1"/>
  <c r="E211" i="1"/>
  <c r="G211" i="1"/>
  <c r="C212" i="1"/>
  <c r="E212" i="1"/>
  <c r="G212" i="1"/>
  <c r="C213" i="1"/>
  <c r="E213" i="1"/>
  <c r="G213" i="1"/>
  <c r="C214" i="1"/>
  <c r="E214" i="1"/>
  <c r="G214" i="1"/>
  <c r="C215" i="1"/>
  <c r="E215" i="1"/>
  <c r="G215" i="1"/>
  <c r="C216" i="1"/>
  <c r="E216" i="1"/>
  <c r="G216" i="1"/>
  <c r="C217" i="1"/>
  <c r="E217" i="1"/>
  <c r="G217" i="1"/>
  <c r="C218" i="1"/>
  <c r="E218" i="1"/>
  <c r="G218" i="1"/>
  <c r="C219" i="1"/>
  <c r="E219" i="1"/>
  <c r="G219" i="1"/>
  <c r="C220" i="1"/>
  <c r="E220" i="1"/>
  <c r="G220" i="1"/>
  <c r="C221" i="1"/>
  <c r="E221" i="1"/>
  <c r="G221" i="1"/>
  <c r="C222" i="1"/>
  <c r="E222" i="1"/>
  <c r="G222" i="1"/>
  <c r="C223" i="1"/>
  <c r="E223" i="1"/>
  <c r="G223" i="1"/>
  <c r="C224" i="1"/>
  <c r="E224" i="1"/>
  <c r="G224" i="1"/>
  <c r="C225" i="1"/>
  <c r="E225" i="1"/>
  <c r="G225" i="1"/>
  <c r="C226" i="1"/>
  <c r="E226" i="1"/>
  <c r="G226" i="1"/>
  <c r="C227" i="1"/>
  <c r="E227" i="1"/>
  <c r="G227" i="1"/>
  <c r="C228" i="1"/>
  <c r="E228" i="1"/>
  <c r="G228" i="1"/>
  <c r="C229" i="1"/>
  <c r="E229" i="1"/>
  <c r="G229" i="1"/>
  <c r="C230" i="1"/>
  <c r="E230" i="1"/>
  <c r="G230" i="1"/>
  <c r="C231" i="1"/>
  <c r="E231" i="1"/>
  <c r="G231" i="1"/>
  <c r="C232" i="1"/>
  <c r="E232" i="1"/>
  <c r="G232" i="1"/>
  <c r="C233" i="1"/>
  <c r="E233" i="1"/>
  <c r="G233" i="1"/>
  <c r="C234" i="1"/>
  <c r="E234" i="1"/>
  <c r="G234" i="1"/>
  <c r="C235" i="1"/>
  <c r="E235" i="1"/>
  <c r="G235" i="1"/>
  <c r="C236" i="1"/>
  <c r="E236" i="1"/>
  <c r="G236" i="1"/>
  <c r="C237" i="1"/>
  <c r="E237" i="1"/>
  <c r="G237" i="1"/>
  <c r="C238" i="1"/>
  <c r="E238" i="1"/>
  <c r="G238" i="1"/>
  <c r="C239" i="1"/>
  <c r="E239" i="1"/>
  <c r="G239" i="1"/>
  <c r="C240" i="1"/>
  <c r="E240" i="1"/>
  <c r="G240" i="1"/>
  <c r="C241" i="1"/>
  <c r="E241" i="1"/>
  <c r="G241" i="1"/>
  <c r="C242" i="1"/>
  <c r="E242" i="1"/>
  <c r="G242" i="1"/>
  <c r="C243" i="1"/>
  <c r="E243" i="1"/>
  <c r="G243" i="1"/>
  <c r="C244" i="1"/>
  <c r="E244" i="1"/>
  <c r="G244" i="1"/>
  <c r="C245" i="1"/>
  <c r="E245" i="1"/>
  <c r="G245" i="1"/>
  <c r="C246" i="1"/>
  <c r="E246" i="1"/>
  <c r="G246" i="1"/>
  <c r="C247" i="1"/>
  <c r="E247" i="1"/>
  <c r="G247" i="1"/>
  <c r="C248" i="1"/>
  <c r="E248" i="1"/>
  <c r="G248" i="1"/>
  <c r="C249" i="1"/>
  <c r="E249" i="1"/>
  <c r="G249" i="1"/>
  <c r="C250" i="1"/>
  <c r="E250" i="1"/>
  <c r="G250" i="1"/>
  <c r="C251" i="1"/>
  <c r="E251" i="1"/>
  <c r="G251" i="1"/>
  <c r="C252" i="1"/>
  <c r="E252" i="1"/>
  <c r="G252" i="1"/>
  <c r="C253" i="1"/>
  <c r="E253" i="1"/>
  <c r="G253" i="1"/>
  <c r="C254" i="1"/>
  <c r="E254" i="1"/>
  <c r="G254" i="1"/>
  <c r="C255" i="1"/>
  <c r="E255" i="1"/>
  <c r="G255" i="1"/>
  <c r="C256" i="1"/>
  <c r="E256" i="1"/>
  <c r="G256" i="1"/>
  <c r="C257" i="1"/>
  <c r="E257" i="1"/>
  <c r="G257" i="1"/>
  <c r="C258" i="1"/>
  <c r="E258" i="1"/>
  <c r="G258" i="1"/>
  <c r="C259" i="1"/>
  <c r="E259" i="1"/>
  <c r="G259" i="1"/>
  <c r="C260" i="1"/>
  <c r="E260" i="1"/>
  <c r="G260" i="1"/>
  <c r="C261" i="1"/>
  <c r="E261" i="1"/>
  <c r="G261" i="1"/>
  <c r="C262" i="1"/>
  <c r="E262" i="1"/>
  <c r="G262" i="1"/>
  <c r="C263" i="1"/>
  <c r="E263" i="1"/>
  <c r="G263" i="1"/>
  <c r="C264" i="1"/>
  <c r="E264" i="1"/>
  <c r="G264" i="1"/>
  <c r="C265" i="1"/>
  <c r="E265" i="1"/>
  <c r="G265" i="1"/>
  <c r="C266" i="1"/>
  <c r="E266" i="1"/>
  <c r="G266" i="1"/>
  <c r="C267" i="1"/>
  <c r="E267" i="1"/>
  <c r="G267" i="1"/>
  <c r="C268" i="1"/>
  <c r="E268" i="1"/>
  <c r="G268" i="1"/>
  <c r="C269" i="1"/>
  <c r="E269" i="1"/>
  <c r="G269" i="1"/>
  <c r="C270" i="1"/>
  <c r="E270" i="1"/>
  <c r="G270" i="1"/>
  <c r="C271" i="1"/>
  <c r="E271" i="1"/>
  <c r="G271" i="1"/>
  <c r="C272" i="1"/>
  <c r="E272" i="1"/>
  <c r="G272" i="1"/>
  <c r="C273" i="1"/>
  <c r="E273" i="1"/>
  <c r="G273" i="1"/>
  <c r="C274" i="1"/>
  <c r="E274" i="1"/>
  <c r="G274" i="1"/>
  <c r="C275" i="1"/>
  <c r="E275" i="1"/>
  <c r="G275" i="1"/>
  <c r="C276" i="1"/>
  <c r="E276" i="1"/>
  <c r="G276" i="1"/>
  <c r="C277" i="1"/>
  <c r="E277" i="1"/>
  <c r="G277" i="1"/>
  <c r="C278" i="1"/>
  <c r="E278" i="1"/>
  <c r="G278" i="1"/>
  <c r="C279" i="1"/>
  <c r="E279" i="1"/>
  <c r="G279" i="1"/>
  <c r="C280" i="1"/>
  <c r="E280" i="1"/>
  <c r="G280" i="1"/>
  <c r="C281" i="1"/>
  <c r="E281" i="1"/>
  <c r="G281" i="1"/>
  <c r="C282" i="1"/>
  <c r="E282" i="1"/>
  <c r="G282" i="1"/>
  <c r="C283" i="1"/>
  <c r="E283" i="1"/>
  <c r="G283" i="1"/>
  <c r="C284" i="1"/>
  <c r="E284" i="1"/>
  <c r="G284" i="1"/>
  <c r="C285" i="1"/>
  <c r="E285" i="1"/>
  <c r="G285" i="1"/>
  <c r="C286" i="1"/>
  <c r="E286" i="1"/>
  <c r="G286" i="1"/>
  <c r="C287" i="1"/>
  <c r="E287" i="1"/>
  <c r="G287" i="1"/>
  <c r="C288" i="1"/>
  <c r="E288" i="1"/>
  <c r="G288" i="1"/>
  <c r="C289" i="1"/>
  <c r="E289" i="1"/>
  <c r="G289" i="1"/>
  <c r="C290" i="1"/>
  <c r="E290" i="1"/>
  <c r="G290" i="1"/>
  <c r="C291" i="1"/>
  <c r="E291" i="1"/>
  <c r="G291" i="1"/>
  <c r="C292" i="1"/>
  <c r="E292" i="1"/>
  <c r="G292" i="1"/>
  <c r="C293" i="1"/>
  <c r="E293" i="1"/>
  <c r="G293" i="1"/>
  <c r="C294" i="1"/>
  <c r="E294" i="1"/>
  <c r="G294" i="1"/>
  <c r="C295" i="1"/>
  <c r="E295" i="1"/>
  <c r="G295" i="1"/>
  <c r="C296" i="1"/>
  <c r="E296" i="1"/>
  <c r="G296" i="1"/>
  <c r="C297" i="1"/>
  <c r="E297" i="1"/>
  <c r="G297" i="1"/>
  <c r="C298" i="1"/>
  <c r="E298" i="1"/>
  <c r="G298" i="1"/>
  <c r="C299" i="1"/>
  <c r="E299" i="1"/>
  <c r="G299" i="1"/>
  <c r="C300" i="1"/>
  <c r="E300" i="1"/>
  <c r="G300" i="1"/>
  <c r="C301" i="1"/>
  <c r="E301" i="1"/>
  <c r="G301" i="1"/>
  <c r="C302" i="1"/>
  <c r="E302" i="1"/>
  <c r="G302" i="1"/>
  <c r="C303" i="1"/>
  <c r="E303" i="1"/>
  <c r="G303" i="1"/>
  <c r="C304" i="1"/>
  <c r="E304" i="1"/>
  <c r="G304" i="1"/>
  <c r="C305" i="1"/>
  <c r="E305" i="1"/>
  <c r="G305" i="1"/>
  <c r="C306" i="1"/>
  <c r="E306" i="1"/>
  <c r="G306" i="1"/>
  <c r="C307" i="1"/>
  <c r="E307" i="1"/>
  <c r="G307" i="1"/>
  <c r="C308" i="1"/>
  <c r="E308" i="1"/>
  <c r="G308" i="1"/>
  <c r="C309" i="1"/>
  <c r="E309" i="1"/>
  <c r="G309" i="1"/>
  <c r="C310" i="1"/>
  <c r="E310" i="1"/>
  <c r="G310" i="1"/>
  <c r="C311" i="1"/>
  <c r="E311" i="1"/>
  <c r="G311" i="1"/>
  <c r="C312" i="1"/>
  <c r="E312" i="1"/>
  <c r="G312" i="1"/>
  <c r="C313" i="1"/>
  <c r="E313" i="1"/>
  <c r="G313" i="1"/>
  <c r="C314" i="1"/>
  <c r="E314" i="1"/>
  <c r="G314" i="1"/>
  <c r="C315" i="1"/>
  <c r="E315" i="1"/>
  <c r="G315" i="1"/>
  <c r="C316" i="1"/>
  <c r="E316" i="1"/>
  <c r="G316" i="1"/>
  <c r="C317" i="1"/>
  <c r="E317" i="1"/>
  <c r="G317" i="1"/>
  <c r="C318" i="1"/>
  <c r="E318" i="1"/>
  <c r="G318" i="1"/>
  <c r="C319" i="1"/>
  <c r="E319" i="1"/>
  <c r="G319" i="1"/>
  <c r="C320" i="1"/>
  <c r="E320" i="1"/>
  <c r="G320" i="1"/>
  <c r="C321" i="1"/>
  <c r="E321" i="1"/>
  <c r="G321" i="1"/>
  <c r="C322" i="1"/>
  <c r="E322" i="1"/>
  <c r="G322" i="1"/>
  <c r="C323" i="1"/>
  <c r="E323" i="1"/>
  <c r="G323" i="1"/>
  <c r="C324" i="1"/>
  <c r="E324" i="1"/>
  <c r="G324" i="1"/>
  <c r="C325" i="1"/>
  <c r="E325" i="1"/>
  <c r="G325" i="1"/>
  <c r="C326" i="1"/>
  <c r="E326" i="1"/>
  <c r="G326" i="1"/>
  <c r="C327" i="1"/>
  <c r="E327" i="1"/>
  <c r="G327" i="1"/>
  <c r="C328" i="1"/>
  <c r="E328" i="1"/>
  <c r="G328" i="1"/>
  <c r="C329" i="1"/>
  <c r="E329" i="1"/>
  <c r="G329" i="1"/>
  <c r="C330" i="1"/>
  <c r="E330" i="1"/>
  <c r="G330" i="1"/>
  <c r="C331" i="1"/>
  <c r="E331" i="1"/>
  <c r="G331" i="1"/>
  <c r="C332" i="1"/>
  <c r="E332" i="1"/>
  <c r="G332" i="1"/>
  <c r="C333" i="1"/>
  <c r="E333" i="1"/>
  <c r="G333" i="1"/>
  <c r="C334" i="1"/>
  <c r="E334" i="1"/>
  <c r="G334" i="1"/>
  <c r="C335" i="1"/>
  <c r="E335" i="1"/>
  <c r="G335" i="1"/>
  <c r="C336" i="1"/>
  <c r="E336" i="1"/>
  <c r="G336" i="1"/>
  <c r="C337" i="1"/>
  <c r="E337" i="1"/>
  <c r="G337" i="1"/>
  <c r="C338" i="1"/>
  <c r="E338" i="1"/>
  <c r="G338" i="1"/>
  <c r="C339" i="1"/>
  <c r="E339" i="1"/>
  <c r="G339" i="1"/>
  <c r="C340" i="1"/>
  <c r="E340" i="1"/>
  <c r="G340" i="1"/>
  <c r="C341" i="1"/>
  <c r="E341" i="1"/>
  <c r="G341" i="1"/>
  <c r="C342" i="1"/>
  <c r="E342" i="1"/>
  <c r="G342" i="1"/>
  <c r="C343" i="1"/>
  <c r="E343" i="1"/>
  <c r="G343" i="1"/>
  <c r="C344" i="1"/>
  <c r="E344" i="1"/>
  <c r="G344" i="1"/>
  <c r="C345" i="1"/>
  <c r="E345" i="1"/>
  <c r="G345" i="1"/>
  <c r="C346" i="1"/>
  <c r="E346" i="1"/>
  <c r="G346" i="1"/>
  <c r="C347" i="1"/>
  <c r="E347" i="1"/>
  <c r="G347" i="1"/>
  <c r="C348" i="1"/>
  <c r="E348" i="1"/>
  <c r="G348" i="1"/>
  <c r="C349" i="1"/>
  <c r="E349" i="1"/>
  <c r="G349" i="1"/>
  <c r="C350" i="1"/>
  <c r="E350" i="1"/>
  <c r="G350" i="1"/>
  <c r="C351" i="1"/>
  <c r="E351" i="1"/>
  <c r="G351" i="1"/>
  <c r="C352" i="1"/>
  <c r="E352" i="1"/>
  <c r="G352" i="1"/>
  <c r="C353" i="1"/>
  <c r="E353" i="1"/>
  <c r="G353" i="1"/>
  <c r="C354" i="1"/>
  <c r="E354" i="1"/>
  <c r="G354" i="1"/>
  <c r="C355" i="1"/>
  <c r="E355" i="1"/>
  <c r="G355" i="1"/>
  <c r="C356" i="1"/>
  <c r="E356" i="1"/>
  <c r="G356" i="1"/>
  <c r="C357" i="1"/>
  <c r="E357" i="1"/>
  <c r="G357" i="1"/>
  <c r="C358" i="1"/>
  <c r="E358" i="1"/>
  <c r="G358" i="1"/>
  <c r="C359" i="1"/>
  <c r="E359" i="1"/>
  <c r="G359" i="1"/>
  <c r="C360" i="1"/>
  <c r="E360" i="1"/>
  <c r="G360" i="1"/>
  <c r="C361" i="1"/>
  <c r="E361" i="1"/>
  <c r="G361" i="1"/>
  <c r="C362" i="1"/>
  <c r="E362" i="1"/>
  <c r="G362" i="1"/>
  <c r="C363" i="1"/>
  <c r="E363" i="1"/>
  <c r="G363" i="1"/>
  <c r="C364" i="1"/>
  <c r="E364" i="1"/>
  <c r="G364" i="1"/>
  <c r="C365" i="1"/>
  <c r="E365" i="1"/>
  <c r="G365" i="1"/>
  <c r="C366" i="1"/>
  <c r="E366" i="1"/>
  <c r="G366" i="1"/>
  <c r="C367" i="1"/>
  <c r="E367" i="1"/>
  <c r="G367" i="1"/>
  <c r="C368" i="1"/>
  <c r="E368" i="1"/>
  <c r="G368" i="1"/>
  <c r="C369" i="1"/>
  <c r="E369" i="1"/>
  <c r="G369" i="1"/>
  <c r="C370" i="1"/>
  <c r="E370" i="1"/>
  <c r="G370" i="1"/>
  <c r="C371" i="1"/>
  <c r="E371" i="1"/>
  <c r="G371" i="1"/>
  <c r="C372" i="1"/>
  <c r="E372" i="1"/>
  <c r="G372" i="1"/>
  <c r="C373" i="1"/>
  <c r="E373" i="1"/>
  <c r="G373" i="1"/>
  <c r="C374" i="1"/>
  <c r="E374" i="1"/>
  <c r="G374" i="1"/>
  <c r="C375" i="1"/>
  <c r="E375" i="1"/>
  <c r="G375" i="1"/>
  <c r="C376" i="1"/>
  <c r="E376" i="1"/>
  <c r="G376" i="1"/>
  <c r="C377" i="1"/>
  <c r="E377" i="1"/>
  <c r="G377" i="1"/>
  <c r="C378" i="1"/>
  <c r="E378" i="1"/>
  <c r="G378" i="1"/>
  <c r="C379" i="1"/>
  <c r="E379" i="1"/>
  <c r="G379" i="1"/>
  <c r="C380" i="1"/>
  <c r="E380" i="1"/>
  <c r="G380" i="1"/>
  <c r="C381" i="1"/>
  <c r="E381" i="1"/>
  <c r="G381" i="1"/>
  <c r="C382" i="1"/>
  <c r="E382" i="1"/>
  <c r="G382" i="1"/>
  <c r="C383" i="1"/>
  <c r="E383" i="1"/>
  <c r="G383" i="1"/>
  <c r="C384" i="1"/>
  <c r="E384" i="1"/>
  <c r="G384" i="1"/>
  <c r="C385" i="1"/>
  <c r="E385" i="1"/>
  <c r="G385" i="1"/>
  <c r="C386" i="1"/>
  <c r="E386" i="1"/>
  <c r="G386" i="1"/>
  <c r="C387" i="1"/>
  <c r="E387" i="1"/>
  <c r="G387" i="1"/>
  <c r="C388" i="1"/>
  <c r="E388" i="1"/>
  <c r="G388" i="1"/>
  <c r="C389" i="1"/>
  <c r="E389" i="1"/>
  <c r="G389" i="1"/>
  <c r="C390" i="1"/>
  <c r="E390" i="1"/>
  <c r="G390" i="1"/>
  <c r="C391" i="1"/>
  <c r="E391" i="1"/>
  <c r="G391" i="1"/>
  <c r="C392" i="1"/>
  <c r="E392" i="1"/>
  <c r="G392" i="1"/>
  <c r="C393" i="1"/>
  <c r="E393" i="1"/>
  <c r="G393" i="1"/>
  <c r="C394" i="1"/>
  <c r="E394" i="1"/>
  <c r="G394" i="1"/>
  <c r="C395" i="1"/>
  <c r="E395" i="1"/>
  <c r="G395" i="1"/>
  <c r="C396" i="1"/>
  <c r="E396" i="1"/>
  <c r="G396" i="1"/>
  <c r="C397" i="1"/>
  <c r="E397" i="1"/>
  <c r="G397" i="1"/>
  <c r="C398" i="1"/>
  <c r="E398" i="1"/>
  <c r="G398" i="1"/>
  <c r="C399" i="1"/>
  <c r="E399" i="1"/>
  <c r="G399" i="1"/>
  <c r="C400" i="1"/>
  <c r="E400" i="1"/>
  <c r="G400" i="1"/>
  <c r="C401" i="1"/>
  <c r="E401" i="1"/>
  <c r="G401" i="1"/>
  <c r="C402" i="1"/>
  <c r="E402" i="1"/>
  <c r="G402" i="1"/>
  <c r="C403" i="1"/>
  <c r="E403" i="1"/>
  <c r="G403" i="1"/>
  <c r="C404" i="1"/>
  <c r="E404" i="1"/>
  <c r="G404" i="1"/>
  <c r="C405" i="1"/>
  <c r="E405" i="1"/>
  <c r="G405" i="1"/>
  <c r="C406" i="1"/>
  <c r="E406" i="1"/>
  <c r="G406" i="1"/>
  <c r="C407" i="1"/>
  <c r="E407" i="1"/>
  <c r="G407" i="1"/>
  <c r="C31" i="1"/>
  <c r="E31" i="1"/>
  <c r="G31" i="1"/>
  <c r="C32" i="1"/>
  <c r="E32" i="1"/>
  <c r="G32" i="1"/>
  <c r="C33" i="1"/>
  <c r="E33" i="1"/>
  <c r="G33" i="1"/>
  <c r="C34" i="1"/>
  <c r="E34" i="1"/>
  <c r="G34" i="1"/>
  <c r="C35" i="1"/>
  <c r="E35" i="1"/>
  <c r="G35" i="1"/>
  <c r="C36" i="1"/>
  <c r="E36" i="1"/>
  <c r="G36" i="1"/>
  <c r="C37" i="1"/>
  <c r="E37" i="1"/>
  <c r="G37" i="1"/>
  <c r="C38" i="1"/>
  <c r="E38" i="1"/>
  <c r="G38" i="1"/>
  <c r="C39" i="1"/>
  <c r="E39" i="1"/>
  <c r="G39" i="1"/>
  <c r="C40" i="1"/>
  <c r="E40" i="1"/>
  <c r="G40" i="1"/>
  <c r="C41" i="1"/>
  <c r="E41" i="1"/>
  <c r="G41" i="1"/>
  <c r="C42" i="1"/>
  <c r="E42" i="1"/>
  <c r="G42" i="1"/>
  <c r="C43" i="1"/>
  <c r="E43" i="1"/>
  <c r="G43" i="1"/>
  <c r="C44" i="1"/>
  <c r="E44" i="1"/>
  <c r="G44" i="1"/>
  <c r="C45" i="1"/>
  <c r="E45" i="1"/>
  <c r="G45" i="1"/>
  <c r="C46" i="1"/>
  <c r="E46" i="1"/>
  <c r="G46" i="1"/>
  <c r="C47" i="1"/>
  <c r="E47" i="1"/>
  <c r="G47" i="1"/>
  <c r="C48" i="1"/>
  <c r="E48" i="1"/>
  <c r="G48" i="1"/>
  <c r="C49" i="1"/>
  <c r="E49" i="1"/>
  <c r="G49" i="1"/>
  <c r="C50" i="1"/>
  <c r="E50" i="1"/>
  <c r="G50" i="1"/>
  <c r="C51" i="1"/>
  <c r="E51" i="1"/>
  <c r="G51" i="1"/>
  <c r="C52" i="1"/>
  <c r="E52" i="1"/>
  <c r="G52" i="1"/>
  <c r="C53" i="1"/>
  <c r="E53" i="1"/>
  <c r="G53" i="1"/>
  <c r="C54" i="1"/>
  <c r="E54" i="1"/>
  <c r="G54" i="1"/>
  <c r="C55" i="1"/>
  <c r="E55" i="1"/>
  <c r="G55" i="1"/>
  <c r="C56" i="1"/>
  <c r="E56" i="1"/>
  <c r="G56" i="1"/>
  <c r="G26" i="1"/>
  <c r="D5" i="1"/>
  <c r="E5" i="1"/>
  <c r="F5" i="1"/>
  <c r="G5" i="1"/>
  <c r="H5" i="1"/>
  <c r="D6" i="1"/>
  <c r="E6" i="1"/>
  <c r="F6" i="1"/>
  <c r="G6" i="1"/>
  <c r="H6" i="1"/>
  <c r="D7" i="1"/>
  <c r="E7" i="1"/>
  <c r="F7" i="1"/>
  <c r="G7" i="1"/>
  <c r="H7" i="1"/>
  <c r="C7" i="1"/>
  <c r="C6" i="1"/>
  <c r="D10" i="1"/>
  <c r="E10" i="1"/>
  <c r="F10" i="1"/>
  <c r="G10" i="1"/>
  <c r="H10" i="1"/>
  <c r="D11" i="1"/>
  <c r="E11" i="1"/>
  <c r="F11" i="1"/>
  <c r="G11" i="1"/>
  <c r="H11" i="1"/>
  <c r="D12" i="1"/>
  <c r="E12" i="1"/>
  <c r="F12" i="1"/>
  <c r="G12" i="1"/>
  <c r="H12" i="1"/>
  <c r="C12" i="1"/>
  <c r="C11" i="1"/>
  <c r="C5" i="1" l="1"/>
  <c r="C10"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6" i="1"/>
  <c r="N57" i="1"/>
  <c r="N56" i="1"/>
  <c r="N55" i="1"/>
  <c r="N54" i="1"/>
  <c r="N53" i="1"/>
  <c r="N52" i="1"/>
  <c r="N51" i="1"/>
  <c r="N50" i="1"/>
  <c r="N49" i="1"/>
  <c r="N48" i="1"/>
  <c r="N47" i="1"/>
  <c r="N46" i="1"/>
  <c r="N45" i="1"/>
  <c r="N44" i="1"/>
  <c r="N43" i="1"/>
  <c r="N42" i="1"/>
  <c r="N41" i="1"/>
  <c r="N40" i="1"/>
  <c r="N39" i="1"/>
  <c r="N38" i="1"/>
  <c r="N37" i="1"/>
  <c r="N36" i="1"/>
  <c r="N35" i="1"/>
  <c r="N34" i="1"/>
  <c r="N33" i="1"/>
  <c r="N32" i="1"/>
  <c r="N31" i="1"/>
  <c r="N19" i="1"/>
  <c r="N18" i="1"/>
  <c r="N17" i="1"/>
  <c r="E25" i="1"/>
  <c r="N330" i="3" l="1"/>
  <c r="G330" i="3"/>
  <c r="N329" i="3"/>
  <c r="G329" i="3"/>
  <c r="N328" i="3"/>
  <c r="G328" i="3"/>
  <c r="N327" i="3"/>
  <c r="H327" i="3"/>
  <c r="H328" i="3" s="1"/>
  <c r="H329" i="3" s="1"/>
  <c r="H330" i="3" s="1"/>
  <c r="G327" i="3"/>
  <c r="N326" i="3"/>
  <c r="G326" i="3"/>
  <c r="N325" i="3"/>
  <c r="G325" i="3"/>
  <c r="N324" i="3"/>
  <c r="G324" i="3"/>
  <c r="N323" i="3"/>
  <c r="G323" i="3"/>
  <c r="N322" i="3"/>
  <c r="G322" i="3"/>
  <c r="N321" i="3"/>
  <c r="G321" i="3"/>
  <c r="N320" i="3"/>
  <c r="G320" i="3"/>
  <c r="N319" i="3"/>
  <c r="G319" i="3"/>
  <c r="N318" i="3"/>
  <c r="G318" i="3"/>
  <c r="N317" i="3"/>
  <c r="G317" i="3"/>
  <c r="N316" i="3"/>
  <c r="G316" i="3"/>
  <c r="N315" i="3"/>
  <c r="G315" i="3"/>
  <c r="N314" i="3"/>
  <c r="G314" i="3"/>
  <c r="N313" i="3"/>
  <c r="G313" i="3"/>
  <c r="N312" i="3"/>
  <c r="G312" i="3"/>
  <c r="N311" i="3"/>
  <c r="G311" i="3"/>
  <c r="N310" i="3"/>
  <c r="G310" i="3"/>
  <c r="N309" i="3"/>
  <c r="G309" i="3"/>
  <c r="N308" i="3"/>
  <c r="G308" i="3"/>
  <c r="N307" i="3"/>
  <c r="G307" i="3"/>
  <c r="N306" i="3"/>
  <c r="G306" i="3"/>
  <c r="N305" i="3"/>
  <c r="G305" i="3"/>
  <c r="N304" i="3"/>
  <c r="G304" i="3"/>
  <c r="N303" i="3"/>
  <c r="G303" i="3"/>
  <c r="N302" i="3"/>
  <c r="G302" i="3"/>
  <c r="N301" i="3"/>
  <c r="G301" i="3"/>
  <c r="N300" i="3"/>
  <c r="G300" i="3"/>
  <c r="N299" i="3"/>
  <c r="G299" i="3"/>
  <c r="N298" i="3"/>
  <c r="G298" i="3"/>
  <c r="N297" i="3"/>
  <c r="G297" i="3"/>
  <c r="N296" i="3"/>
  <c r="G296" i="3"/>
  <c r="N295" i="3"/>
  <c r="H295" i="3"/>
  <c r="H296" i="3" s="1"/>
  <c r="H297" i="3" s="1"/>
  <c r="H298" i="3" s="1"/>
  <c r="H299" i="3" s="1"/>
  <c r="H300" i="3" s="1"/>
  <c r="H301" i="3" s="1"/>
  <c r="H302" i="3" s="1"/>
  <c r="H303" i="3" s="1"/>
  <c r="H304" i="3" s="1"/>
  <c r="H305" i="3" s="1"/>
  <c r="H306" i="3" s="1"/>
  <c r="H307" i="3" s="1"/>
  <c r="H308" i="3" s="1"/>
  <c r="H309" i="3" s="1"/>
  <c r="H310" i="3" s="1"/>
  <c r="H311" i="3" s="1"/>
  <c r="H312" i="3" s="1"/>
  <c r="H313" i="3" s="1"/>
  <c r="H314" i="3" s="1"/>
  <c r="H315" i="3" s="1"/>
  <c r="H316" i="3" s="1"/>
  <c r="H317" i="3" s="1"/>
  <c r="H318" i="3" s="1"/>
  <c r="H319" i="3" s="1"/>
  <c r="H320" i="3" s="1"/>
  <c r="H321" i="3" s="1"/>
  <c r="H322" i="3" s="1"/>
  <c r="H323" i="3" s="1"/>
  <c r="H324" i="3" s="1"/>
  <c r="H325" i="3" s="1"/>
  <c r="H326" i="3" s="1"/>
  <c r="G295" i="3"/>
  <c r="N294" i="3"/>
  <c r="G294" i="3"/>
  <c r="H294" i="3" s="1"/>
  <c r="N293" i="3"/>
  <c r="G293" i="3"/>
  <c r="N292" i="3"/>
  <c r="G292" i="3"/>
  <c r="N291" i="3"/>
  <c r="G291" i="3"/>
  <c r="N290" i="3"/>
  <c r="G290" i="3"/>
  <c r="N289" i="3"/>
  <c r="G289" i="3"/>
  <c r="N288" i="3"/>
  <c r="G288" i="3"/>
  <c r="N287" i="3"/>
  <c r="G287" i="3"/>
  <c r="N286" i="3"/>
  <c r="G286" i="3"/>
  <c r="N285" i="3"/>
  <c r="G285" i="3"/>
  <c r="N284" i="3"/>
  <c r="G284" i="3"/>
  <c r="N283" i="3"/>
  <c r="G283" i="3"/>
  <c r="N282" i="3"/>
  <c r="G282" i="3"/>
  <c r="N281" i="3"/>
  <c r="H281" i="3"/>
  <c r="H282" i="3" s="1"/>
  <c r="H283" i="3" s="1"/>
  <c r="H284" i="3" s="1"/>
  <c r="H285" i="3" s="1"/>
  <c r="H286" i="3" s="1"/>
  <c r="H287" i="3" s="1"/>
  <c r="H288" i="3" s="1"/>
  <c r="H289" i="3" s="1"/>
  <c r="H290" i="3" s="1"/>
  <c r="H291" i="3" s="1"/>
  <c r="H292" i="3" s="1"/>
  <c r="H293" i="3" s="1"/>
  <c r="G281" i="3"/>
  <c r="N280" i="3"/>
  <c r="G280" i="3"/>
  <c r="N279" i="3"/>
  <c r="G279" i="3"/>
  <c r="N278" i="3"/>
  <c r="G278" i="3"/>
  <c r="N277" i="3"/>
  <c r="G277" i="3"/>
  <c r="N276" i="3"/>
  <c r="G276" i="3"/>
  <c r="N275" i="3"/>
  <c r="G275" i="3"/>
  <c r="N274" i="3"/>
  <c r="G274" i="3"/>
  <c r="N273" i="3"/>
  <c r="G273" i="3"/>
  <c r="N272" i="3"/>
  <c r="G272" i="3"/>
  <c r="N271" i="3"/>
  <c r="G271" i="3"/>
  <c r="N270" i="3"/>
  <c r="G270" i="3"/>
  <c r="N269" i="3"/>
  <c r="G269" i="3"/>
  <c r="N268" i="3"/>
  <c r="G268" i="3"/>
  <c r="N267" i="3"/>
  <c r="G267" i="3"/>
  <c r="N266" i="3"/>
  <c r="G266" i="3"/>
  <c r="N265" i="3"/>
  <c r="G265" i="3"/>
  <c r="N264" i="3"/>
  <c r="G264" i="3"/>
  <c r="N263" i="3"/>
  <c r="G263" i="3"/>
  <c r="N262" i="3"/>
  <c r="G262" i="3"/>
  <c r="H262" i="3" s="1"/>
  <c r="H263" i="3" s="1"/>
  <c r="H264" i="3" s="1"/>
  <c r="H265" i="3" s="1"/>
  <c r="H266" i="3" s="1"/>
  <c r="H267" i="3" s="1"/>
  <c r="H268" i="3" s="1"/>
  <c r="H269" i="3" s="1"/>
  <c r="H270" i="3" s="1"/>
  <c r="H271" i="3" s="1"/>
  <c r="H272" i="3" s="1"/>
  <c r="H273" i="3" s="1"/>
  <c r="H274" i="3" s="1"/>
  <c r="H275" i="3" s="1"/>
  <c r="H276" i="3" s="1"/>
  <c r="H277" i="3" s="1"/>
  <c r="H278" i="3" s="1"/>
  <c r="H279" i="3" s="1"/>
  <c r="H280" i="3" s="1"/>
  <c r="N261" i="3"/>
  <c r="G261" i="3"/>
  <c r="N260" i="3"/>
  <c r="G260" i="3"/>
  <c r="H260" i="3" s="1"/>
  <c r="H261" i="3" s="1"/>
  <c r="N259" i="3"/>
  <c r="G259" i="3"/>
  <c r="N258" i="3"/>
  <c r="G258" i="3"/>
  <c r="N257" i="3"/>
  <c r="G257" i="3"/>
  <c r="N256" i="3"/>
  <c r="G256" i="3"/>
  <c r="N255" i="3"/>
  <c r="G255" i="3"/>
  <c r="N254" i="3"/>
  <c r="G254" i="3"/>
  <c r="N253" i="3"/>
  <c r="G253" i="3"/>
  <c r="N252" i="3"/>
  <c r="G252" i="3"/>
  <c r="N251" i="3"/>
  <c r="H251" i="3"/>
  <c r="H252" i="3" s="1"/>
  <c r="H253" i="3" s="1"/>
  <c r="H254" i="3" s="1"/>
  <c r="H255" i="3" s="1"/>
  <c r="H256" i="3" s="1"/>
  <c r="H257" i="3" s="1"/>
  <c r="H258" i="3" s="1"/>
  <c r="H259" i="3" s="1"/>
  <c r="G251" i="3"/>
  <c r="N250" i="3"/>
  <c r="G250" i="3"/>
  <c r="N249" i="3"/>
  <c r="G249" i="3"/>
  <c r="N248" i="3"/>
  <c r="G248" i="3"/>
  <c r="H248" i="3" s="1"/>
  <c r="H249" i="3" s="1"/>
  <c r="H250" i="3" s="1"/>
  <c r="N247" i="3"/>
  <c r="G247" i="3"/>
  <c r="N246" i="3"/>
  <c r="G246" i="3"/>
  <c r="N245" i="3"/>
  <c r="G245" i="3"/>
  <c r="N244" i="3"/>
  <c r="G244" i="3"/>
  <c r="N243" i="3"/>
  <c r="G243" i="3"/>
  <c r="N242" i="3"/>
  <c r="G242" i="3"/>
  <c r="N241" i="3"/>
  <c r="G241" i="3"/>
  <c r="N240" i="3"/>
  <c r="G240" i="3"/>
  <c r="N239" i="3"/>
  <c r="G239" i="3"/>
  <c r="N238" i="3"/>
  <c r="G238" i="3"/>
  <c r="N237" i="3"/>
  <c r="G237" i="3"/>
  <c r="N236" i="3"/>
  <c r="G236" i="3"/>
  <c r="N235" i="3"/>
  <c r="H235" i="3"/>
  <c r="H236" i="3" s="1"/>
  <c r="H237" i="3" s="1"/>
  <c r="H238" i="3" s="1"/>
  <c r="H239" i="3" s="1"/>
  <c r="H240" i="3" s="1"/>
  <c r="H241" i="3" s="1"/>
  <c r="H242" i="3" s="1"/>
  <c r="H243" i="3" s="1"/>
  <c r="H244" i="3" s="1"/>
  <c r="H245" i="3" s="1"/>
  <c r="H246" i="3" s="1"/>
  <c r="H247" i="3" s="1"/>
  <c r="G235" i="3"/>
  <c r="N234" i="3"/>
  <c r="G234" i="3"/>
  <c r="N233" i="3"/>
  <c r="H233" i="3"/>
  <c r="H234" i="3" s="1"/>
  <c r="G233" i="3"/>
  <c r="N232" i="3"/>
  <c r="G232" i="3"/>
  <c r="N231" i="3"/>
  <c r="H231" i="3"/>
  <c r="H232" i="3" s="1"/>
  <c r="G231" i="3"/>
  <c r="N230" i="3"/>
  <c r="G230" i="3"/>
  <c r="N229" i="3"/>
  <c r="G229" i="3"/>
  <c r="N228" i="3"/>
  <c r="G228" i="3"/>
  <c r="N227" i="3"/>
  <c r="H227" i="3"/>
  <c r="H228" i="3" s="1"/>
  <c r="H229" i="3" s="1"/>
  <c r="H230" i="3" s="1"/>
  <c r="G227" i="3"/>
  <c r="N226" i="3"/>
  <c r="G226" i="3"/>
  <c r="N225" i="3"/>
  <c r="G225" i="3"/>
  <c r="N224" i="3"/>
  <c r="G224" i="3"/>
  <c r="H224" i="3" s="1"/>
  <c r="H225" i="3" s="1"/>
  <c r="H226" i="3" s="1"/>
  <c r="N223" i="3"/>
  <c r="H223" i="3"/>
  <c r="G223" i="3"/>
  <c r="N222" i="3"/>
  <c r="G222" i="3"/>
  <c r="N221" i="3"/>
  <c r="G221" i="3"/>
  <c r="N220" i="3"/>
  <c r="G220" i="3"/>
  <c r="H220" i="3" s="1"/>
  <c r="H221" i="3" s="1"/>
  <c r="H222" i="3" s="1"/>
  <c r="N219" i="3"/>
  <c r="G219" i="3"/>
  <c r="N218" i="3"/>
  <c r="G218" i="3"/>
  <c r="N217" i="3"/>
  <c r="G217" i="3"/>
  <c r="N216" i="3"/>
  <c r="G216" i="3"/>
  <c r="N215" i="3"/>
  <c r="G215" i="3"/>
  <c r="N214" i="3"/>
  <c r="G214" i="3"/>
  <c r="N213" i="3"/>
  <c r="G213" i="3"/>
  <c r="N212" i="3"/>
  <c r="G212" i="3"/>
  <c r="N211" i="3"/>
  <c r="H211" i="3"/>
  <c r="H212" i="3" s="1"/>
  <c r="H213" i="3" s="1"/>
  <c r="H214" i="3" s="1"/>
  <c r="H215" i="3" s="1"/>
  <c r="H216" i="3" s="1"/>
  <c r="H217" i="3" s="1"/>
  <c r="H218" i="3" s="1"/>
  <c r="H219" i="3" s="1"/>
  <c r="G211" i="3"/>
  <c r="N210" i="3"/>
  <c r="G210" i="3"/>
  <c r="N209" i="3"/>
  <c r="G209" i="3"/>
  <c r="N208" i="3"/>
  <c r="G208" i="3"/>
  <c r="H208" i="3" s="1"/>
  <c r="H209" i="3" s="1"/>
  <c r="H210" i="3" s="1"/>
  <c r="N207" i="3"/>
  <c r="G207" i="3"/>
  <c r="N206" i="3"/>
  <c r="G206" i="3"/>
  <c r="N205" i="3"/>
  <c r="G205" i="3"/>
  <c r="N204" i="3"/>
  <c r="G204" i="3"/>
  <c r="N203" i="3"/>
  <c r="G203" i="3"/>
  <c r="N202" i="3"/>
  <c r="G202" i="3"/>
  <c r="N201" i="3"/>
  <c r="G201" i="3"/>
  <c r="N200" i="3"/>
  <c r="G200" i="3"/>
  <c r="N199" i="3"/>
  <c r="H199" i="3"/>
  <c r="H200" i="3" s="1"/>
  <c r="H201" i="3" s="1"/>
  <c r="H202" i="3" s="1"/>
  <c r="H203" i="3" s="1"/>
  <c r="H204" i="3" s="1"/>
  <c r="H205" i="3" s="1"/>
  <c r="H206" i="3" s="1"/>
  <c r="H207" i="3" s="1"/>
  <c r="G199" i="3"/>
  <c r="N198" i="3"/>
  <c r="G198" i="3"/>
  <c r="H198" i="3" s="1"/>
  <c r="N197" i="3"/>
  <c r="G197" i="3"/>
  <c r="N196" i="3"/>
  <c r="G196" i="3"/>
  <c r="H196" i="3" s="1"/>
  <c r="H197" i="3" s="1"/>
  <c r="N195" i="3"/>
  <c r="G195" i="3"/>
  <c r="N194" i="3"/>
  <c r="G194" i="3"/>
  <c r="N193" i="3"/>
  <c r="G193" i="3"/>
  <c r="N192" i="3"/>
  <c r="G192" i="3"/>
  <c r="N191" i="3"/>
  <c r="H191" i="3"/>
  <c r="H192" i="3" s="1"/>
  <c r="H193" i="3" s="1"/>
  <c r="H194" i="3" s="1"/>
  <c r="H195" i="3" s="1"/>
  <c r="G191" i="3"/>
  <c r="N190" i="3"/>
  <c r="G190" i="3"/>
  <c r="N189" i="3"/>
  <c r="G189" i="3"/>
  <c r="N188" i="3"/>
  <c r="G188" i="3"/>
  <c r="H188" i="3" s="1"/>
  <c r="H189" i="3" s="1"/>
  <c r="H190" i="3" s="1"/>
  <c r="N187" i="3"/>
  <c r="G187" i="3"/>
  <c r="N186" i="3"/>
  <c r="G186" i="3"/>
  <c r="N185" i="3"/>
  <c r="G185" i="3"/>
  <c r="N184" i="3"/>
  <c r="G184" i="3"/>
  <c r="N183" i="3"/>
  <c r="G183" i="3"/>
  <c r="N182" i="3"/>
  <c r="G182" i="3"/>
  <c r="N181" i="3"/>
  <c r="G181" i="3"/>
  <c r="N180" i="3"/>
  <c r="G180" i="3"/>
  <c r="N179" i="3"/>
  <c r="H179" i="3"/>
  <c r="H180" i="3" s="1"/>
  <c r="H181" i="3" s="1"/>
  <c r="H182" i="3" s="1"/>
  <c r="H183" i="3" s="1"/>
  <c r="H184" i="3" s="1"/>
  <c r="H185" i="3" s="1"/>
  <c r="H186" i="3" s="1"/>
  <c r="H187" i="3" s="1"/>
  <c r="G179" i="3"/>
  <c r="N178" i="3"/>
  <c r="G178" i="3"/>
  <c r="H178" i="3" s="1"/>
  <c r="N177" i="3"/>
  <c r="G177" i="3"/>
  <c r="N176" i="3"/>
  <c r="G176" i="3"/>
  <c r="H176" i="3" s="1"/>
  <c r="H177" i="3" s="1"/>
  <c r="N175" i="3"/>
  <c r="H175" i="3"/>
  <c r="G175" i="3"/>
  <c r="N174" i="3"/>
  <c r="G174" i="3"/>
  <c r="N173" i="3"/>
  <c r="G173" i="3"/>
  <c r="N172" i="3"/>
  <c r="G172" i="3"/>
  <c r="H172" i="3" s="1"/>
  <c r="H173" i="3" s="1"/>
  <c r="H174" i="3" s="1"/>
  <c r="N171" i="3"/>
  <c r="G171" i="3"/>
  <c r="N170" i="3"/>
  <c r="G170" i="3"/>
  <c r="H170" i="3" s="1"/>
  <c r="H171" i="3" s="1"/>
  <c r="N169" i="3"/>
  <c r="G169" i="3"/>
  <c r="N168" i="3"/>
  <c r="G168" i="3"/>
  <c r="N167" i="3"/>
  <c r="H167" i="3"/>
  <c r="H168" i="3" s="1"/>
  <c r="H169" i="3" s="1"/>
  <c r="G167" i="3"/>
  <c r="N166" i="3"/>
  <c r="G166" i="3"/>
  <c r="H166" i="3" s="1"/>
  <c r="N165" i="3"/>
  <c r="H165" i="3"/>
  <c r="G165" i="3"/>
  <c r="N164" i="3"/>
  <c r="G164" i="3"/>
  <c r="N163" i="3"/>
  <c r="H163" i="3"/>
  <c r="H164" i="3" s="1"/>
  <c r="G163" i="3"/>
  <c r="N162" i="3"/>
  <c r="G162" i="3"/>
  <c r="N161" i="3"/>
  <c r="G161" i="3"/>
  <c r="N160" i="3"/>
  <c r="G160" i="3"/>
  <c r="N159" i="3"/>
  <c r="G159" i="3"/>
  <c r="N158" i="3"/>
  <c r="G158" i="3"/>
  <c r="H158" i="3" s="1"/>
  <c r="H159" i="3" s="1"/>
  <c r="H160" i="3" s="1"/>
  <c r="H161" i="3" s="1"/>
  <c r="H162" i="3" s="1"/>
  <c r="N157" i="3"/>
  <c r="G157" i="3"/>
  <c r="N156" i="3"/>
  <c r="G156" i="3"/>
  <c r="N155" i="3"/>
  <c r="H155" i="3"/>
  <c r="H156" i="3" s="1"/>
  <c r="H157" i="3" s="1"/>
  <c r="G155" i="3"/>
  <c r="N154" i="3"/>
  <c r="G154" i="3"/>
  <c r="N153" i="3"/>
  <c r="G153" i="3"/>
  <c r="N152" i="3"/>
  <c r="G152" i="3"/>
  <c r="H152" i="3" s="1"/>
  <c r="H153" i="3" s="1"/>
  <c r="H154" i="3" s="1"/>
  <c r="N151" i="3"/>
  <c r="G151" i="3"/>
  <c r="N150" i="3"/>
  <c r="G150" i="3"/>
  <c r="N149" i="3"/>
  <c r="G149" i="3"/>
  <c r="N148" i="3"/>
  <c r="G148" i="3"/>
  <c r="N147" i="3"/>
  <c r="H147" i="3"/>
  <c r="H148" i="3" s="1"/>
  <c r="H149" i="3" s="1"/>
  <c r="H150" i="3" s="1"/>
  <c r="H151" i="3" s="1"/>
  <c r="G147" i="3"/>
  <c r="N146" i="3"/>
  <c r="G146" i="3"/>
  <c r="N145" i="3"/>
  <c r="G145" i="3"/>
  <c r="N144" i="3"/>
  <c r="G144" i="3"/>
  <c r="N143" i="3"/>
  <c r="H143" i="3"/>
  <c r="H144" i="3" s="1"/>
  <c r="H145" i="3" s="1"/>
  <c r="H146" i="3" s="1"/>
  <c r="G143" i="3"/>
  <c r="N142" i="3"/>
  <c r="G142" i="3"/>
  <c r="N141" i="3"/>
  <c r="G141" i="3"/>
  <c r="N140" i="3"/>
  <c r="G140" i="3"/>
  <c r="N139" i="3"/>
  <c r="H139" i="3"/>
  <c r="H140" i="3" s="1"/>
  <c r="H141" i="3" s="1"/>
  <c r="H142" i="3" s="1"/>
  <c r="G139" i="3"/>
  <c r="N138" i="3"/>
  <c r="G138" i="3"/>
  <c r="N137" i="3"/>
  <c r="G137" i="3"/>
  <c r="N136" i="3"/>
  <c r="G136" i="3"/>
  <c r="H136" i="3" s="1"/>
  <c r="H137" i="3" s="1"/>
  <c r="H138" i="3" s="1"/>
  <c r="N135" i="3"/>
  <c r="G135" i="3"/>
  <c r="N134" i="3"/>
  <c r="G134" i="3"/>
  <c r="N133" i="3"/>
  <c r="G133" i="3"/>
  <c r="N132" i="3"/>
  <c r="G132" i="3"/>
  <c r="N131" i="3"/>
  <c r="G131" i="3"/>
  <c r="N130" i="3"/>
  <c r="G130" i="3"/>
  <c r="N129" i="3"/>
  <c r="G129" i="3"/>
  <c r="N128" i="3"/>
  <c r="G128" i="3"/>
  <c r="N127" i="3"/>
  <c r="G127" i="3"/>
  <c r="N126" i="3"/>
  <c r="G126" i="3"/>
  <c r="N125" i="3"/>
  <c r="G125" i="3"/>
  <c r="N124" i="3"/>
  <c r="G124" i="3"/>
  <c r="H124" i="3" s="1"/>
  <c r="H125" i="3" s="1"/>
  <c r="H126" i="3" s="1"/>
  <c r="H127" i="3" s="1"/>
  <c r="H128" i="3" s="1"/>
  <c r="H129" i="3" s="1"/>
  <c r="H130" i="3" s="1"/>
  <c r="H131" i="3" s="1"/>
  <c r="H132" i="3" s="1"/>
  <c r="H133" i="3" s="1"/>
  <c r="H134" i="3" s="1"/>
  <c r="H135" i="3" s="1"/>
  <c r="N123" i="3"/>
  <c r="G123" i="3"/>
  <c r="N122" i="3"/>
  <c r="G122" i="3"/>
  <c r="N121" i="3"/>
  <c r="G121" i="3"/>
  <c r="N120" i="3"/>
  <c r="G120" i="3"/>
  <c r="N119" i="3"/>
  <c r="H119" i="3"/>
  <c r="H120" i="3" s="1"/>
  <c r="H121" i="3" s="1"/>
  <c r="H122" i="3" s="1"/>
  <c r="H123" i="3" s="1"/>
  <c r="G119" i="3"/>
  <c r="N118" i="3"/>
  <c r="G118" i="3"/>
  <c r="N117" i="3"/>
  <c r="G117" i="3"/>
  <c r="N116" i="3"/>
  <c r="G116" i="3"/>
  <c r="H116" i="3" s="1"/>
  <c r="H117" i="3" s="1"/>
  <c r="H118" i="3" s="1"/>
  <c r="N115" i="3"/>
  <c r="H115" i="3"/>
  <c r="G115" i="3"/>
  <c r="N114" i="3"/>
  <c r="G114" i="3"/>
  <c r="N113" i="3"/>
  <c r="H113" i="3"/>
  <c r="H114" i="3" s="1"/>
  <c r="G113" i="3"/>
  <c r="N112" i="3"/>
  <c r="G112" i="3"/>
  <c r="H112" i="3" s="1"/>
  <c r="N111" i="3"/>
  <c r="G111" i="3"/>
  <c r="AI110" i="3"/>
  <c r="N110" i="3"/>
  <c r="G110" i="3"/>
  <c r="N109" i="3"/>
  <c r="G109" i="3"/>
  <c r="N108" i="3"/>
  <c r="H108" i="3"/>
  <c r="H109" i="3" s="1"/>
  <c r="H110" i="3" s="1"/>
  <c r="H111" i="3" s="1"/>
  <c r="G108" i="3"/>
  <c r="N107" i="3"/>
  <c r="G107" i="3"/>
  <c r="N106" i="3"/>
  <c r="G106" i="3"/>
  <c r="N105" i="3"/>
  <c r="G105" i="3"/>
  <c r="N104" i="3"/>
  <c r="G104" i="3"/>
  <c r="N103" i="3"/>
  <c r="G103" i="3"/>
  <c r="N102" i="3"/>
  <c r="G102" i="3"/>
  <c r="N101" i="3"/>
  <c r="G101" i="3"/>
  <c r="H101" i="3" s="1"/>
  <c r="H102" i="3" s="1"/>
  <c r="H103" i="3" s="1"/>
  <c r="H104" i="3" s="1"/>
  <c r="H105" i="3" s="1"/>
  <c r="H106" i="3" s="1"/>
  <c r="H107" i="3" s="1"/>
  <c r="N100" i="3"/>
  <c r="G100" i="3"/>
  <c r="N99" i="3"/>
  <c r="G99" i="3"/>
  <c r="H99" i="3" s="1"/>
  <c r="H100" i="3" s="1"/>
  <c r="N98" i="3"/>
  <c r="H98" i="3"/>
  <c r="G98" i="3"/>
  <c r="N97" i="3"/>
  <c r="G97" i="3"/>
  <c r="N96" i="3"/>
  <c r="G96" i="3"/>
  <c r="N95" i="3"/>
  <c r="G95" i="3"/>
  <c r="H95" i="3" s="1"/>
  <c r="H96" i="3" s="1"/>
  <c r="H97" i="3" s="1"/>
  <c r="N94" i="3"/>
  <c r="G94" i="3"/>
  <c r="N93" i="3"/>
  <c r="G93" i="3"/>
  <c r="N92" i="3"/>
  <c r="G92" i="3"/>
  <c r="N91" i="3"/>
  <c r="G91" i="3"/>
  <c r="N90" i="3"/>
  <c r="H90" i="3"/>
  <c r="H91" i="3" s="1"/>
  <c r="H92" i="3" s="1"/>
  <c r="H93" i="3" s="1"/>
  <c r="H94" i="3" s="1"/>
  <c r="G90" i="3"/>
  <c r="N89" i="3"/>
  <c r="G89" i="3"/>
  <c r="N88" i="3"/>
  <c r="H88" i="3"/>
  <c r="H89" i="3" s="1"/>
  <c r="G88" i="3"/>
  <c r="N87" i="3"/>
  <c r="G87" i="3"/>
  <c r="N86" i="3"/>
  <c r="H86" i="3"/>
  <c r="H87" i="3" s="1"/>
  <c r="G86" i="3"/>
  <c r="N85" i="3"/>
  <c r="G85" i="3"/>
  <c r="N84" i="3"/>
  <c r="G84" i="3"/>
  <c r="N83" i="3"/>
  <c r="G83" i="3"/>
  <c r="N82" i="3"/>
  <c r="H82" i="3"/>
  <c r="H83" i="3" s="1"/>
  <c r="H84" i="3" s="1"/>
  <c r="H85" i="3" s="1"/>
  <c r="G82" i="3"/>
  <c r="N81" i="3"/>
  <c r="G81" i="3"/>
  <c r="H81" i="3" s="1"/>
  <c r="N80" i="3"/>
  <c r="G80" i="3"/>
  <c r="N79" i="3"/>
  <c r="G79" i="3"/>
  <c r="N78" i="3"/>
  <c r="G78" i="3"/>
  <c r="N77" i="3"/>
  <c r="G77" i="3"/>
  <c r="N76" i="3"/>
  <c r="G76" i="3"/>
  <c r="N75" i="3"/>
  <c r="G75" i="3"/>
  <c r="N74" i="3"/>
  <c r="G74" i="3"/>
  <c r="N73" i="3"/>
  <c r="G73" i="3"/>
  <c r="N72" i="3"/>
  <c r="G72" i="3"/>
  <c r="N71" i="3"/>
  <c r="G71" i="3"/>
  <c r="N70" i="3"/>
  <c r="G70" i="3"/>
  <c r="N69" i="3"/>
  <c r="G69" i="3"/>
  <c r="N68" i="3"/>
  <c r="G68" i="3"/>
  <c r="N67" i="3"/>
  <c r="G67" i="3"/>
  <c r="N66" i="3"/>
  <c r="G66" i="3"/>
  <c r="N65" i="3"/>
  <c r="G65" i="3"/>
  <c r="N64" i="3"/>
  <c r="G64" i="3"/>
  <c r="N63" i="3"/>
  <c r="G63" i="3"/>
  <c r="H63" i="3" s="1"/>
  <c r="H64" i="3" s="1"/>
  <c r="H65" i="3" s="1"/>
  <c r="H66" i="3" s="1"/>
  <c r="H67" i="3" s="1"/>
  <c r="H68" i="3" s="1"/>
  <c r="H69" i="3" s="1"/>
  <c r="H70" i="3" s="1"/>
  <c r="H71" i="3" s="1"/>
  <c r="H72" i="3" s="1"/>
  <c r="H73" i="3" s="1"/>
  <c r="H74" i="3" s="1"/>
  <c r="H75" i="3" s="1"/>
  <c r="H76" i="3" s="1"/>
  <c r="H77" i="3" s="1"/>
  <c r="H78" i="3" s="1"/>
  <c r="H79" i="3" s="1"/>
  <c r="H80" i="3" s="1"/>
  <c r="N62" i="3"/>
  <c r="G62" i="3"/>
  <c r="N61" i="3"/>
  <c r="G61" i="3"/>
  <c r="N60" i="3"/>
  <c r="G60" i="3"/>
  <c r="N59" i="3"/>
  <c r="G59" i="3"/>
  <c r="N58" i="3"/>
  <c r="H58" i="3"/>
  <c r="H59" i="3" s="1"/>
  <c r="H60" i="3" s="1"/>
  <c r="H61" i="3" s="1"/>
  <c r="H62" i="3" s="1"/>
  <c r="G58" i="3"/>
  <c r="N57" i="3"/>
  <c r="G57" i="3"/>
  <c r="N56" i="3"/>
  <c r="G56" i="3"/>
  <c r="N55" i="3"/>
  <c r="G55" i="3"/>
  <c r="N54" i="3"/>
  <c r="G54" i="3"/>
  <c r="N53" i="3"/>
  <c r="G53" i="3"/>
  <c r="N52" i="3"/>
  <c r="G52" i="3"/>
  <c r="N51" i="3"/>
  <c r="G51" i="3"/>
  <c r="N50" i="3"/>
  <c r="G50" i="3"/>
  <c r="N49" i="3"/>
  <c r="G49" i="3"/>
  <c r="N48" i="3"/>
  <c r="G48" i="3"/>
  <c r="N47" i="3"/>
  <c r="G47" i="3"/>
  <c r="N46" i="3"/>
  <c r="H46" i="3"/>
  <c r="H47" i="3" s="1"/>
  <c r="H48" i="3" s="1"/>
  <c r="H49" i="3" s="1"/>
  <c r="H50" i="3" s="1"/>
  <c r="H51" i="3" s="1"/>
  <c r="H52" i="3" s="1"/>
  <c r="H53" i="3" s="1"/>
  <c r="H54" i="3" s="1"/>
  <c r="H55" i="3" s="1"/>
  <c r="H56" i="3" s="1"/>
  <c r="H57" i="3" s="1"/>
  <c r="G46" i="3"/>
  <c r="N45" i="3"/>
  <c r="G45" i="3"/>
  <c r="H45" i="3" s="1"/>
  <c r="N44" i="3"/>
  <c r="G44" i="3"/>
  <c r="N43" i="3"/>
  <c r="G43" i="3"/>
  <c r="N42" i="3"/>
  <c r="G42" i="3"/>
  <c r="N41" i="3"/>
  <c r="G41" i="3"/>
  <c r="N40" i="3"/>
  <c r="G40" i="3"/>
  <c r="N39" i="3"/>
  <c r="G39" i="3"/>
  <c r="N38" i="3"/>
  <c r="H38" i="3"/>
  <c r="H39" i="3" s="1"/>
  <c r="H40" i="3" s="1"/>
  <c r="H41" i="3" s="1"/>
  <c r="H42" i="3" s="1"/>
  <c r="H43" i="3" s="1"/>
  <c r="H44" i="3" s="1"/>
  <c r="G38" i="3"/>
  <c r="N37" i="3"/>
  <c r="G37" i="3"/>
  <c r="N36" i="3"/>
  <c r="H36" i="3"/>
  <c r="H37" i="3" s="1"/>
  <c r="G36" i="3"/>
  <c r="N35" i="3"/>
  <c r="G35" i="3"/>
  <c r="H35" i="3" s="1"/>
  <c r="N34" i="3"/>
  <c r="G34" i="3"/>
  <c r="N33" i="3"/>
  <c r="G33" i="3"/>
  <c r="N32" i="3"/>
  <c r="G32" i="3"/>
  <c r="N31" i="3"/>
  <c r="G31" i="3"/>
  <c r="N30" i="3"/>
  <c r="H30" i="3"/>
  <c r="H31" i="3" s="1"/>
  <c r="H32" i="3" s="1"/>
  <c r="H33" i="3" s="1"/>
  <c r="H34" i="3" s="1"/>
  <c r="G30" i="3"/>
  <c r="N29" i="3"/>
  <c r="G29" i="3"/>
  <c r="N28" i="3"/>
  <c r="G28" i="3"/>
  <c r="N27" i="3"/>
  <c r="G27" i="3"/>
  <c r="N26" i="3"/>
  <c r="H26" i="3"/>
  <c r="H27" i="3" s="1"/>
  <c r="H28" i="3" s="1"/>
  <c r="H29" i="3" s="1"/>
  <c r="G26" i="3"/>
  <c r="N25" i="3"/>
  <c r="G25" i="3"/>
  <c r="H25" i="3" s="1"/>
  <c r="N24" i="3"/>
  <c r="G24" i="3"/>
  <c r="N23" i="3"/>
  <c r="G23" i="3"/>
  <c r="N22" i="3"/>
  <c r="H22" i="3"/>
  <c r="H23" i="3" s="1"/>
  <c r="H24" i="3" s="1"/>
  <c r="G22" i="3"/>
  <c r="N21" i="3"/>
  <c r="G21" i="3"/>
  <c r="N20" i="3"/>
  <c r="G20" i="3"/>
  <c r="N19" i="3"/>
  <c r="G19" i="3"/>
  <c r="N18" i="3"/>
  <c r="G18" i="3"/>
  <c r="N17" i="3"/>
  <c r="G17" i="3"/>
  <c r="N16" i="3"/>
  <c r="G16" i="3"/>
  <c r="N15" i="3"/>
  <c r="G15" i="3"/>
  <c r="N14" i="3"/>
  <c r="H14" i="3"/>
  <c r="H15" i="3" s="1"/>
  <c r="H16" i="3" s="1"/>
  <c r="H17" i="3" s="1"/>
  <c r="H18" i="3" s="1"/>
  <c r="H19" i="3" s="1"/>
  <c r="H20" i="3" s="1"/>
  <c r="H21" i="3" s="1"/>
  <c r="G14" i="3"/>
  <c r="N13" i="3"/>
  <c r="G13" i="3"/>
  <c r="H13" i="3" s="1"/>
  <c r="N12" i="3"/>
  <c r="G12" i="3"/>
  <c r="N11" i="3"/>
  <c r="G11" i="3"/>
  <c r="N10" i="3"/>
  <c r="H10" i="3"/>
  <c r="H11" i="3" s="1"/>
  <c r="H12" i="3" s="1"/>
  <c r="G10" i="3"/>
  <c r="N9" i="3"/>
  <c r="G9" i="3"/>
  <c r="N8" i="3"/>
  <c r="H8" i="3"/>
  <c r="H9" i="3" s="1"/>
  <c r="G8" i="3"/>
  <c r="N7" i="3"/>
  <c r="G7" i="3"/>
  <c r="H7" i="3" s="1"/>
  <c r="N6" i="3"/>
  <c r="H6" i="3"/>
  <c r="G6" i="3"/>
  <c r="N5" i="3"/>
  <c r="G5" i="3"/>
  <c r="H5" i="3" s="1"/>
  <c r="Q410" i="1"/>
  <c r="J409" i="1"/>
  <c r="O409" i="1" s="1"/>
  <c r="Q407" i="1"/>
  <c r="Q406" i="1"/>
  <c r="Q405" i="1"/>
  <c r="Q404" i="1"/>
  <c r="Q403" i="1"/>
  <c r="Q402" i="1"/>
  <c r="Q401" i="1"/>
  <c r="Q400" i="1"/>
  <c r="Q399" i="1"/>
  <c r="Q398" i="1"/>
  <c r="Q397" i="1"/>
  <c r="Q396" i="1"/>
  <c r="Q395" i="1"/>
  <c r="Q394" i="1"/>
  <c r="Q393" i="1"/>
  <c r="Q392" i="1"/>
  <c r="Q391" i="1"/>
  <c r="Q390" i="1"/>
  <c r="Q389" i="1"/>
  <c r="Q388" i="1"/>
  <c r="Q387" i="1"/>
  <c r="Q386" i="1"/>
  <c r="Q385" i="1"/>
  <c r="Q384" i="1"/>
  <c r="Q383" i="1"/>
  <c r="Q382" i="1"/>
  <c r="Q381" i="1"/>
  <c r="Q380" i="1"/>
  <c r="Q379" i="1"/>
  <c r="Q378" i="1"/>
  <c r="Q377" i="1"/>
  <c r="Q376" i="1"/>
  <c r="Q375" i="1"/>
  <c r="Q374" i="1"/>
  <c r="Q373" i="1"/>
  <c r="Q372" i="1"/>
  <c r="Q371" i="1"/>
  <c r="Q370" i="1"/>
  <c r="Q369" i="1"/>
  <c r="Q368" i="1"/>
  <c r="Q367" i="1"/>
  <c r="Q366" i="1"/>
  <c r="Q365" i="1"/>
  <c r="Q364" i="1"/>
  <c r="Q363" i="1"/>
  <c r="Q362" i="1"/>
  <c r="Q361" i="1"/>
  <c r="Q360" i="1"/>
  <c r="Q359" i="1"/>
  <c r="Q358" i="1"/>
  <c r="Q357" i="1"/>
  <c r="Q356" i="1"/>
  <c r="Q355" i="1"/>
  <c r="Q354" i="1"/>
  <c r="Q353" i="1"/>
  <c r="Q352" i="1"/>
  <c r="Q351" i="1"/>
  <c r="Q350" i="1"/>
  <c r="Q349" i="1"/>
  <c r="Q348" i="1"/>
  <c r="Q347" i="1"/>
  <c r="Q346" i="1"/>
  <c r="Q345" i="1"/>
  <c r="Q344" i="1"/>
  <c r="Q343" i="1"/>
  <c r="Q342" i="1"/>
  <c r="Q341" i="1"/>
  <c r="Q340" i="1"/>
  <c r="Q339" i="1"/>
  <c r="Q338" i="1"/>
  <c r="Q337" i="1"/>
  <c r="Q336" i="1"/>
  <c r="Q335" i="1"/>
  <c r="Q334" i="1"/>
  <c r="Q333" i="1"/>
  <c r="Q332" i="1"/>
  <c r="Q331" i="1"/>
  <c r="Q330" i="1"/>
  <c r="Q329" i="1"/>
  <c r="Q328" i="1"/>
  <c r="Q327" i="1"/>
  <c r="Q326" i="1"/>
  <c r="Q325" i="1"/>
  <c r="Q324" i="1"/>
  <c r="Q323" i="1"/>
  <c r="Q322" i="1"/>
  <c r="Q321"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G63" i="1"/>
  <c r="E63" i="1"/>
  <c r="C63" i="1"/>
  <c r="Q63" i="1" s="1"/>
  <c r="G62" i="1"/>
  <c r="E62" i="1"/>
  <c r="C62" i="1"/>
  <c r="Q62" i="1" s="1"/>
  <c r="G61" i="1"/>
  <c r="E61" i="1"/>
  <c r="C61" i="1"/>
  <c r="Q61" i="1" s="1"/>
  <c r="G60" i="1"/>
  <c r="E60" i="1"/>
  <c r="C60" i="1"/>
  <c r="Q60" i="1" s="1"/>
  <c r="G59" i="1"/>
  <c r="E59" i="1"/>
  <c r="C59" i="1"/>
  <c r="Q59" i="1" s="1"/>
  <c r="G58" i="1"/>
  <c r="N58" i="1" s="1"/>
  <c r="E58" i="1"/>
  <c r="R58" i="1" s="1"/>
  <c r="C58" i="1"/>
  <c r="T57" i="1"/>
  <c r="S56" i="1"/>
  <c r="S55" i="1"/>
  <c r="R56" i="1" s="1"/>
  <c r="S54" i="1"/>
  <c r="R55" i="1" s="1"/>
  <c r="S53" i="1"/>
  <c r="R54" i="1" s="1"/>
  <c r="S52" i="1"/>
  <c r="R53" i="1" s="1"/>
  <c r="T53" i="1" s="1"/>
  <c r="S51" i="1"/>
  <c r="R52" i="1" s="1"/>
  <c r="T52" i="1" s="1"/>
  <c r="S50" i="1"/>
  <c r="R51" i="1" s="1"/>
  <c r="S49" i="1"/>
  <c r="R50" i="1" s="1"/>
  <c r="S48" i="1"/>
  <c r="R49" i="1" s="1"/>
  <c r="T49" i="1" s="1"/>
  <c r="S47" i="1"/>
  <c r="R48" i="1" s="1"/>
  <c r="T48" i="1" s="1"/>
  <c r="S46" i="1"/>
  <c r="R47" i="1" s="1"/>
  <c r="S45" i="1"/>
  <c r="R46" i="1" s="1"/>
  <c r="S44" i="1"/>
  <c r="R45" i="1" s="1"/>
  <c r="T45" i="1" s="1"/>
  <c r="S43" i="1"/>
  <c r="R44" i="1" s="1"/>
  <c r="T44" i="1" s="1"/>
  <c r="S42" i="1"/>
  <c r="R43" i="1" s="1"/>
  <c r="S41" i="1"/>
  <c r="R42" i="1" s="1"/>
  <c r="S40" i="1"/>
  <c r="R41" i="1" s="1"/>
  <c r="T41" i="1" s="1"/>
  <c r="S39" i="1"/>
  <c r="R40" i="1" s="1"/>
  <c r="T40" i="1" s="1"/>
  <c r="S38" i="1"/>
  <c r="R39" i="1" s="1"/>
  <c r="S37" i="1"/>
  <c r="R38" i="1" s="1"/>
  <c r="T38" i="1" s="1"/>
  <c r="S36" i="1"/>
  <c r="R37" i="1" s="1"/>
  <c r="T37" i="1" s="1"/>
  <c r="S35" i="1"/>
  <c r="R36" i="1" s="1"/>
  <c r="T36" i="1" s="1"/>
  <c r="S34" i="1"/>
  <c r="R35" i="1" s="1"/>
  <c r="S33" i="1"/>
  <c r="R34" i="1" s="1"/>
  <c r="T34" i="1" s="1"/>
  <c r="S32" i="1"/>
  <c r="R33" i="1" s="1"/>
  <c r="T33" i="1" s="1"/>
  <c r="G30" i="1"/>
  <c r="E30" i="1"/>
  <c r="C30" i="1"/>
  <c r="G29" i="1"/>
  <c r="N29" i="1" s="1"/>
  <c r="E29" i="1"/>
  <c r="C29" i="1"/>
  <c r="G28" i="1"/>
  <c r="E28" i="1"/>
  <c r="C28" i="1"/>
  <c r="G27" i="1"/>
  <c r="E27" i="1"/>
  <c r="C27" i="1"/>
  <c r="E26" i="1"/>
  <c r="C26" i="1"/>
  <c r="G25" i="1"/>
  <c r="C25" i="1"/>
  <c r="G24" i="1"/>
  <c r="E24" i="1"/>
  <c r="C24" i="1"/>
  <c r="G23" i="1"/>
  <c r="N23" i="1" s="1"/>
  <c r="E23" i="1"/>
  <c r="R23" i="1" s="1"/>
  <c r="T23" i="1" s="1"/>
  <c r="C23" i="1"/>
  <c r="T22" i="1"/>
  <c r="V22" i="1" s="1"/>
  <c r="M22" i="1"/>
  <c r="G22" i="1"/>
  <c r="N22" i="1" s="1"/>
  <c r="M21" i="1"/>
  <c r="G21" i="1"/>
  <c r="N21" i="1" s="1"/>
  <c r="T20" i="1"/>
  <c r="M20" i="1"/>
  <c r="N20" i="1" s="1"/>
  <c r="T19" i="1"/>
  <c r="V19" i="1" s="1"/>
  <c r="M19" i="1"/>
  <c r="T18" i="1"/>
  <c r="M18" i="1"/>
  <c r="T17" i="1"/>
  <c r="V17" i="1" s="1"/>
  <c r="M17" i="1"/>
  <c r="V16" i="1"/>
  <c r="U16" i="1"/>
  <c r="V15" i="1"/>
  <c r="U15" i="1"/>
  <c r="Q8" i="1"/>
  <c r="T8" i="1" s="1"/>
  <c r="T3" i="1"/>
  <c r="T35" i="1" l="1"/>
  <c r="T43" i="1"/>
  <c r="T47" i="1"/>
  <c r="T51" i="1"/>
  <c r="U51" i="1" s="1"/>
  <c r="T55" i="1"/>
  <c r="T42" i="1"/>
  <c r="T46" i="1"/>
  <c r="T50" i="1"/>
  <c r="V50" i="1" s="1"/>
  <c r="T54" i="1"/>
  <c r="Q58" i="1"/>
  <c r="S85" i="1"/>
  <c r="S31" i="1"/>
  <c r="R32" i="1" s="1"/>
  <c r="T32" i="1" s="1"/>
  <c r="U32" i="1" s="1"/>
  <c r="S83" i="1"/>
  <c r="R84" i="1" s="1"/>
  <c r="S87" i="1"/>
  <c r="S91" i="1"/>
  <c r="S74" i="1"/>
  <c r="R75" i="1" s="1"/>
  <c r="T75" i="1" s="1"/>
  <c r="S78" i="1"/>
  <c r="R79" i="1" s="1"/>
  <c r="S82" i="1"/>
  <c r="R83" i="1" s="1"/>
  <c r="T83" i="1" s="1"/>
  <c r="S84" i="1"/>
  <c r="S86" i="1"/>
  <c r="R87" i="1" s="1"/>
  <c r="T87" i="1" s="1"/>
  <c r="S88" i="1"/>
  <c r="R89" i="1" s="1"/>
  <c r="S94" i="1"/>
  <c r="R95" i="1" s="1"/>
  <c r="S98" i="1"/>
  <c r="S102" i="1"/>
  <c r="R103" i="1" s="1"/>
  <c r="T103" i="1" s="1"/>
  <c r="S106" i="1"/>
  <c r="R107" i="1" s="1"/>
  <c r="S108" i="1"/>
  <c r="R109" i="1" s="1"/>
  <c r="S112" i="1"/>
  <c r="S114" i="1"/>
  <c r="R115" i="1" s="1"/>
  <c r="T115" i="1" s="1"/>
  <c r="S118" i="1"/>
  <c r="R119" i="1" s="1"/>
  <c r="S122" i="1"/>
  <c r="S126" i="1"/>
  <c r="S128" i="1"/>
  <c r="R129" i="1" s="1"/>
  <c r="T129" i="1" s="1"/>
  <c r="S134" i="1"/>
  <c r="S136" i="1"/>
  <c r="R137" i="1" s="1"/>
  <c r="S140" i="1"/>
  <c r="S144" i="1"/>
  <c r="R145" i="1" s="1"/>
  <c r="T145" i="1" s="1"/>
  <c r="S148" i="1"/>
  <c r="R149" i="1" s="1"/>
  <c r="S152" i="1"/>
  <c r="R153" i="1" s="1"/>
  <c r="S154" i="1"/>
  <c r="S158" i="1"/>
  <c r="R159" i="1" s="1"/>
  <c r="T159" i="1" s="1"/>
  <c r="S162" i="1"/>
  <c r="R163" i="1" s="1"/>
  <c r="S166" i="1"/>
  <c r="S168" i="1"/>
  <c r="S172" i="1"/>
  <c r="R173" i="1" s="1"/>
  <c r="S176" i="1"/>
  <c r="R177" i="1" s="1"/>
  <c r="S182" i="1"/>
  <c r="R183" i="1" s="1"/>
  <c r="S186" i="1"/>
  <c r="S188" i="1"/>
  <c r="R189" i="1" s="1"/>
  <c r="S190" i="1"/>
  <c r="R191" i="1" s="1"/>
  <c r="S194" i="1"/>
  <c r="R195" i="1" s="1"/>
  <c r="S196" i="1"/>
  <c r="S198" i="1"/>
  <c r="R199" i="1" s="1"/>
  <c r="S200" i="1"/>
  <c r="R201" i="1" s="1"/>
  <c r="S202" i="1"/>
  <c r="R203" i="1" s="1"/>
  <c r="S206" i="1"/>
  <c r="S208" i="1"/>
  <c r="R209" i="1" s="1"/>
  <c r="T209" i="1" s="1"/>
  <c r="S210" i="1"/>
  <c r="R211" i="1" s="1"/>
  <c r="S212" i="1"/>
  <c r="R213" i="1" s="1"/>
  <c r="S214" i="1"/>
  <c r="S216" i="1"/>
  <c r="R217" i="1" s="1"/>
  <c r="T217" i="1" s="1"/>
  <c r="S218" i="1"/>
  <c r="R219" i="1" s="1"/>
  <c r="S220" i="1"/>
  <c r="R221" i="1" s="1"/>
  <c r="S222" i="1"/>
  <c r="S224" i="1"/>
  <c r="R225" i="1" s="1"/>
  <c r="T225" i="1" s="1"/>
  <c r="S226" i="1"/>
  <c r="R227" i="1" s="1"/>
  <c r="S228" i="1"/>
  <c r="R229" i="1" s="1"/>
  <c r="S230" i="1"/>
  <c r="S232" i="1"/>
  <c r="R233" i="1" s="1"/>
  <c r="T233" i="1" s="1"/>
  <c r="S234" i="1"/>
  <c r="R235" i="1" s="1"/>
  <c r="S236" i="1"/>
  <c r="R237" i="1" s="1"/>
  <c r="S238" i="1"/>
  <c r="S240" i="1"/>
  <c r="R241" i="1" s="1"/>
  <c r="T241" i="1" s="1"/>
  <c r="S242" i="1"/>
  <c r="R243" i="1" s="1"/>
  <c r="S244" i="1"/>
  <c r="R245" i="1" s="1"/>
  <c r="S246" i="1"/>
  <c r="S248" i="1"/>
  <c r="R249" i="1" s="1"/>
  <c r="T249" i="1" s="1"/>
  <c r="S250" i="1"/>
  <c r="R251" i="1" s="1"/>
  <c r="S252" i="1"/>
  <c r="R253" i="1" s="1"/>
  <c r="S254" i="1"/>
  <c r="S256" i="1"/>
  <c r="R257" i="1" s="1"/>
  <c r="T257" i="1" s="1"/>
  <c r="S258" i="1"/>
  <c r="R259" i="1" s="1"/>
  <c r="S260" i="1"/>
  <c r="R261" i="1" s="1"/>
  <c r="S262" i="1"/>
  <c r="S264" i="1"/>
  <c r="R265" i="1" s="1"/>
  <c r="T265" i="1" s="1"/>
  <c r="S266" i="1"/>
  <c r="R267" i="1" s="1"/>
  <c r="S268" i="1"/>
  <c r="R269" i="1" s="1"/>
  <c r="S270" i="1"/>
  <c r="S272" i="1"/>
  <c r="R273" i="1" s="1"/>
  <c r="T273" i="1" s="1"/>
  <c r="S274" i="1"/>
  <c r="R275" i="1" s="1"/>
  <c r="S276" i="1"/>
  <c r="R277" i="1" s="1"/>
  <c r="S278" i="1"/>
  <c r="S280" i="1"/>
  <c r="R281" i="1" s="1"/>
  <c r="T281" i="1" s="1"/>
  <c r="S282" i="1"/>
  <c r="R283" i="1" s="1"/>
  <c r="S284" i="1"/>
  <c r="R285" i="1" s="1"/>
  <c r="S286" i="1"/>
  <c r="S288" i="1"/>
  <c r="R289" i="1" s="1"/>
  <c r="T289" i="1" s="1"/>
  <c r="S290" i="1"/>
  <c r="R291" i="1" s="1"/>
  <c r="S292" i="1"/>
  <c r="R293" i="1" s="1"/>
  <c r="S294" i="1"/>
  <c r="S296" i="1"/>
  <c r="R297" i="1" s="1"/>
  <c r="T297" i="1" s="1"/>
  <c r="S298" i="1"/>
  <c r="S300" i="1"/>
  <c r="R301" i="1" s="1"/>
  <c r="S302" i="1"/>
  <c r="S304" i="1"/>
  <c r="R305" i="1" s="1"/>
  <c r="T305" i="1" s="1"/>
  <c r="S306" i="1"/>
  <c r="R307" i="1" s="1"/>
  <c r="S308" i="1"/>
  <c r="R309" i="1" s="1"/>
  <c r="S310" i="1"/>
  <c r="S312" i="1"/>
  <c r="R313" i="1" s="1"/>
  <c r="T313" i="1" s="1"/>
  <c r="S314" i="1"/>
  <c r="R315" i="1" s="1"/>
  <c r="S316" i="1"/>
  <c r="R317" i="1" s="1"/>
  <c r="S318" i="1"/>
  <c r="S320" i="1"/>
  <c r="R321" i="1" s="1"/>
  <c r="T321" i="1" s="1"/>
  <c r="S322" i="1"/>
  <c r="R323" i="1" s="1"/>
  <c r="S324" i="1"/>
  <c r="R325" i="1" s="1"/>
  <c r="S326" i="1"/>
  <c r="S328" i="1"/>
  <c r="R329" i="1" s="1"/>
  <c r="T329" i="1" s="1"/>
  <c r="S330" i="1"/>
  <c r="R331" i="1" s="1"/>
  <c r="S332" i="1"/>
  <c r="R333" i="1" s="1"/>
  <c r="S334" i="1"/>
  <c r="S336" i="1"/>
  <c r="R337" i="1" s="1"/>
  <c r="T337" i="1" s="1"/>
  <c r="S338" i="1"/>
  <c r="R339" i="1" s="1"/>
  <c r="S340" i="1"/>
  <c r="R341" i="1" s="1"/>
  <c r="S342" i="1"/>
  <c r="S344" i="1"/>
  <c r="R345" i="1" s="1"/>
  <c r="T345" i="1" s="1"/>
  <c r="S346" i="1"/>
  <c r="R347" i="1" s="1"/>
  <c r="S348" i="1"/>
  <c r="R349" i="1" s="1"/>
  <c r="S350" i="1"/>
  <c r="S352" i="1"/>
  <c r="R353" i="1" s="1"/>
  <c r="T353" i="1" s="1"/>
  <c r="S354" i="1"/>
  <c r="R355" i="1" s="1"/>
  <c r="S356" i="1"/>
  <c r="R357" i="1" s="1"/>
  <c r="S358" i="1"/>
  <c r="S360" i="1"/>
  <c r="R361" i="1" s="1"/>
  <c r="T361" i="1" s="1"/>
  <c r="S362" i="1"/>
  <c r="R363" i="1" s="1"/>
  <c r="S364" i="1"/>
  <c r="R365" i="1" s="1"/>
  <c r="S366" i="1"/>
  <c r="S368" i="1"/>
  <c r="R369" i="1" s="1"/>
  <c r="T369" i="1" s="1"/>
  <c r="S370" i="1"/>
  <c r="R371" i="1" s="1"/>
  <c r="S372" i="1"/>
  <c r="R373" i="1" s="1"/>
  <c r="S374" i="1"/>
  <c r="S376" i="1"/>
  <c r="R377" i="1" s="1"/>
  <c r="T377" i="1" s="1"/>
  <c r="S378" i="1"/>
  <c r="R379" i="1" s="1"/>
  <c r="S380" i="1"/>
  <c r="R381" i="1" s="1"/>
  <c r="S382" i="1"/>
  <c r="S384" i="1"/>
  <c r="R385" i="1" s="1"/>
  <c r="T385" i="1" s="1"/>
  <c r="S386" i="1"/>
  <c r="R387" i="1" s="1"/>
  <c r="S388" i="1"/>
  <c r="R389" i="1" s="1"/>
  <c r="S390" i="1"/>
  <c r="S392" i="1"/>
  <c r="R393" i="1" s="1"/>
  <c r="T393" i="1" s="1"/>
  <c r="S394" i="1"/>
  <c r="R395" i="1" s="1"/>
  <c r="S396" i="1"/>
  <c r="R397" i="1" s="1"/>
  <c r="S398" i="1"/>
  <c r="S400" i="1"/>
  <c r="S402" i="1"/>
  <c r="R403" i="1" s="1"/>
  <c r="S404" i="1"/>
  <c r="R405" i="1" s="1"/>
  <c r="S406" i="1"/>
  <c r="T21" i="1"/>
  <c r="V21" i="1" s="1"/>
  <c r="S71" i="1"/>
  <c r="R72" i="1" s="1"/>
  <c r="T72" i="1" s="1"/>
  <c r="S73" i="1"/>
  <c r="S75" i="1"/>
  <c r="S77" i="1"/>
  <c r="R78" i="1" s="1"/>
  <c r="T78" i="1" s="1"/>
  <c r="S79" i="1"/>
  <c r="R80" i="1" s="1"/>
  <c r="S81" i="1"/>
  <c r="R82" i="1" s="1"/>
  <c r="T82" i="1" s="1"/>
  <c r="S72" i="1"/>
  <c r="R73" i="1" s="1"/>
  <c r="S76" i="1"/>
  <c r="R77" i="1" s="1"/>
  <c r="T77" i="1" s="1"/>
  <c r="S80" i="1"/>
  <c r="R81" i="1" s="1"/>
  <c r="T81" i="1" s="1"/>
  <c r="S90" i="1"/>
  <c r="S92" i="1"/>
  <c r="R93" i="1" s="1"/>
  <c r="S96" i="1"/>
  <c r="R97" i="1" s="1"/>
  <c r="T97" i="1" s="1"/>
  <c r="S100" i="1"/>
  <c r="R101" i="1" s="1"/>
  <c r="S104" i="1"/>
  <c r="S110" i="1"/>
  <c r="R111" i="1" s="1"/>
  <c r="S116" i="1"/>
  <c r="R117" i="1" s="1"/>
  <c r="S120" i="1"/>
  <c r="R121" i="1" s="1"/>
  <c r="S124" i="1"/>
  <c r="S130" i="1"/>
  <c r="R131" i="1" s="1"/>
  <c r="S132" i="1"/>
  <c r="R133" i="1" s="1"/>
  <c r="S138" i="1"/>
  <c r="R139" i="1" s="1"/>
  <c r="T139" i="1" s="1"/>
  <c r="S142" i="1"/>
  <c r="S146" i="1"/>
  <c r="S150" i="1"/>
  <c r="R151" i="1" s="1"/>
  <c r="T151" i="1" s="1"/>
  <c r="S156" i="1"/>
  <c r="R157" i="1" s="1"/>
  <c r="S160" i="1"/>
  <c r="S164" i="1"/>
  <c r="R165" i="1" s="1"/>
  <c r="S170" i="1"/>
  <c r="R171" i="1" s="1"/>
  <c r="T171" i="1" s="1"/>
  <c r="S174" i="1"/>
  <c r="R175" i="1" s="1"/>
  <c r="S178" i="1"/>
  <c r="S180" i="1"/>
  <c r="R181" i="1" s="1"/>
  <c r="S184" i="1"/>
  <c r="R185" i="1" s="1"/>
  <c r="T185" i="1" s="1"/>
  <c r="S192" i="1"/>
  <c r="R193" i="1" s="1"/>
  <c r="S204" i="1"/>
  <c r="S89" i="1"/>
  <c r="R90" i="1" s="1"/>
  <c r="S93" i="1"/>
  <c r="R94" i="1" s="1"/>
  <c r="T94" i="1" s="1"/>
  <c r="S95" i="1"/>
  <c r="R96" i="1" s="1"/>
  <c r="S97" i="1"/>
  <c r="S99" i="1"/>
  <c r="R100" i="1" s="1"/>
  <c r="S101" i="1"/>
  <c r="R102" i="1" s="1"/>
  <c r="T102" i="1" s="1"/>
  <c r="S103" i="1"/>
  <c r="R104" i="1" s="1"/>
  <c r="T104" i="1" s="1"/>
  <c r="S105" i="1"/>
  <c r="S107" i="1"/>
  <c r="R108" i="1" s="1"/>
  <c r="T108" i="1" s="1"/>
  <c r="S109" i="1"/>
  <c r="R110" i="1" s="1"/>
  <c r="T110" i="1" s="1"/>
  <c r="S111" i="1"/>
  <c r="R112" i="1" s="1"/>
  <c r="T112" i="1" s="1"/>
  <c r="S113" i="1"/>
  <c r="S115" i="1"/>
  <c r="R116" i="1" s="1"/>
  <c r="S117" i="1"/>
  <c r="R118" i="1" s="1"/>
  <c r="T118" i="1" s="1"/>
  <c r="S119" i="1"/>
  <c r="S121" i="1"/>
  <c r="S123" i="1"/>
  <c r="R124" i="1" s="1"/>
  <c r="S125" i="1"/>
  <c r="R126" i="1" s="1"/>
  <c r="T126" i="1" s="1"/>
  <c r="S127" i="1"/>
  <c r="R128" i="1" s="1"/>
  <c r="S129" i="1"/>
  <c r="S131" i="1"/>
  <c r="R132" i="1" s="1"/>
  <c r="S133" i="1"/>
  <c r="R134" i="1" s="1"/>
  <c r="T134" i="1" s="1"/>
  <c r="S135" i="1"/>
  <c r="R136" i="1" s="1"/>
  <c r="T136" i="1" s="1"/>
  <c r="S137" i="1"/>
  <c r="S139" i="1"/>
  <c r="R140" i="1" s="1"/>
  <c r="S141" i="1"/>
  <c r="R142" i="1" s="1"/>
  <c r="T142" i="1" s="1"/>
  <c r="S143" i="1"/>
  <c r="R144" i="1" s="1"/>
  <c r="S145" i="1"/>
  <c r="S147" i="1"/>
  <c r="R148" i="1" s="1"/>
  <c r="T148" i="1" s="1"/>
  <c r="S149" i="1"/>
  <c r="R150" i="1" s="1"/>
  <c r="T150" i="1" s="1"/>
  <c r="S151" i="1"/>
  <c r="R152" i="1" s="1"/>
  <c r="S153" i="1"/>
  <c r="S155" i="1"/>
  <c r="R156" i="1" s="1"/>
  <c r="S157" i="1"/>
  <c r="R158" i="1" s="1"/>
  <c r="T158" i="1" s="1"/>
  <c r="S159" i="1"/>
  <c r="R160" i="1" s="1"/>
  <c r="T160" i="1" s="1"/>
  <c r="S161" i="1"/>
  <c r="S163" i="1"/>
  <c r="R164" i="1" s="1"/>
  <c r="T164" i="1" s="1"/>
  <c r="S165" i="1"/>
  <c r="R166" i="1" s="1"/>
  <c r="T166" i="1" s="1"/>
  <c r="S167" i="1"/>
  <c r="R168" i="1" s="1"/>
  <c r="S169" i="1"/>
  <c r="S171" i="1"/>
  <c r="R172" i="1" s="1"/>
  <c r="S173" i="1"/>
  <c r="R174" i="1" s="1"/>
  <c r="T174" i="1" s="1"/>
  <c r="S175" i="1"/>
  <c r="R176" i="1" s="1"/>
  <c r="T176" i="1" s="1"/>
  <c r="S177" i="1"/>
  <c r="S179" i="1"/>
  <c r="R180" i="1" s="1"/>
  <c r="T180" i="1" s="1"/>
  <c r="S181" i="1"/>
  <c r="S183" i="1"/>
  <c r="R184" i="1" s="1"/>
  <c r="S185" i="1"/>
  <c r="S187" i="1"/>
  <c r="R188" i="1" s="1"/>
  <c r="S189" i="1"/>
  <c r="R190" i="1" s="1"/>
  <c r="T190" i="1" s="1"/>
  <c r="S191" i="1"/>
  <c r="R192" i="1" s="1"/>
  <c r="T192" i="1" s="1"/>
  <c r="S193" i="1"/>
  <c r="S195" i="1"/>
  <c r="R196" i="1" s="1"/>
  <c r="T196" i="1" s="1"/>
  <c r="S197" i="1"/>
  <c r="R198" i="1" s="1"/>
  <c r="T198" i="1" s="1"/>
  <c r="S199" i="1"/>
  <c r="R200" i="1" s="1"/>
  <c r="T200" i="1" s="1"/>
  <c r="S201" i="1"/>
  <c r="S203" i="1"/>
  <c r="R204" i="1" s="1"/>
  <c r="S205" i="1"/>
  <c r="R206" i="1" s="1"/>
  <c r="T206" i="1" s="1"/>
  <c r="S207" i="1"/>
  <c r="S209" i="1"/>
  <c r="S211" i="1"/>
  <c r="R212" i="1" s="1"/>
  <c r="T212" i="1" s="1"/>
  <c r="S213" i="1"/>
  <c r="R214" i="1" s="1"/>
  <c r="T214" i="1" s="1"/>
  <c r="S215" i="1"/>
  <c r="R216" i="1" s="1"/>
  <c r="S217" i="1"/>
  <c r="S219" i="1"/>
  <c r="R220" i="1" s="1"/>
  <c r="T220" i="1" s="1"/>
  <c r="S221" i="1"/>
  <c r="R222" i="1" s="1"/>
  <c r="T222" i="1" s="1"/>
  <c r="S223" i="1"/>
  <c r="R224" i="1" s="1"/>
  <c r="S225" i="1"/>
  <c r="S227" i="1"/>
  <c r="R228" i="1" s="1"/>
  <c r="T228" i="1" s="1"/>
  <c r="S229" i="1"/>
  <c r="R230" i="1" s="1"/>
  <c r="T230" i="1" s="1"/>
  <c r="S231" i="1"/>
  <c r="R232" i="1" s="1"/>
  <c r="S233" i="1"/>
  <c r="S235" i="1"/>
  <c r="R236" i="1" s="1"/>
  <c r="S237" i="1"/>
  <c r="R238" i="1" s="1"/>
  <c r="T238" i="1" s="1"/>
  <c r="S239" i="1"/>
  <c r="R240" i="1" s="1"/>
  <c r="S241" i="1"/>
  <c r="S243" i="1"/>
  <c r="S245" i="1"/>
  <c r="R246" i="1" s="1"/>
  <c r="T246" i="1" s="1"/>
  <c r="S247" i="1"/>
  <c r="R248" i="1" s="1"/>
  <c r="S249" i="1"/>
  <c r="S251" i="1"/>
  <c r="R252" i="1" s="1"/>
  <c r="T252" i="1" s="1"/>
  <c r="S253" i="1"/>
  <c r="R254" i="1" s="1"/>
  <c r="T254" i="1" s="1"/>
  <c r="S255" i="1"/>
  <c r="R256" i="1" s="1"/>
  <c r="S257" i="1"/>
  <c r="S259" i="1"/>
  <c r="R260" i="1" s="1"/>
  <c r="T260" i="1" s="1"/>
  <c r="S261" i="1"/>
  <c r="S263" i="1"/>
  <c r="R264" i="1" s="1"/>
  <c r="S265" i="1"/>
  <c r="S267" i="1"/>
  <c r="R268" i="1" s="1"/>
  <c r="T268" i="1" s="1"/>
  <c r="S269" i="1"/>
  <c r="R270" i="1" s="1"/>
  <c r="T270" i="1" s="1"/>
  <c r="S271" i="1"/>
  <c r="R272" i="1" s="1"/>
  <c r="S273" i="1"/>
  <c r="S275" i="1"/>
  <c r="R276" i="1" s="1"/>
  <c r="T276" i="1" s="1"/>
  <c r="S277" i="1"/>
  <c r="R278" i="1" s="1"/>
  <c r="T278" i="1" s="1"/>
  <c r="S279" i="1"/>
  <c r="S281" i="1"/>
  <c r="S283" i="1"/>
  <c r="R284" i="1" s="1"/>
  <c r="T284" i="1" s="1"/>
  <c r="S285" i="1"/>
  <c r="R286" i="1" s="1"/>
  <c r="T286" i="1" s="1"/>
  <c r="S287" i="1"/>
  <c r="R288" i="1" s="1"/>
  <c r="S289" i="1"/>
  <c r="S291" i="1"/>
  <c r="R292" i="1" s="1"/>
  <c r="T292" i="1" s="1"/>
  <c r="S293" i="1"/>
  <c r="R294" i="1" s="1"/>
  <c r="T294" i="1" s="1"/>
  <c r="S295" i="1"/>
  <c r="R296" i="1" s="1"/>
  <c r="S297" i="1"/>
  <c r="S299" i="1"/>
  <c r="R300" i="1" s="1"/>
  <c r="T300" i="1" s="1"/>
  <c r="S301" i="1"/>
  <c r="R302" i="1" s="1"/>
  <c r="T302" i="1" s="1"/>
  <c r="S303" i="1"/>
  <c r="R304" i="1" s="1"/>
  <c r="S305" i="1"/>
  <c r="S307" i="1"/>
  <c r="R308" i="1" s="1"/>
  <c r="T308" i="1" s="1"/>
  <c r="S309" i="1"/>
  <c r="R310" i="1" s="1"/>
  <c r="T310" i="1" s="1"/>
  <c r="S311" i="1"/>
  <c r="R312" i="1" s="1"/>
  <c r="S313" i="1"/>
  <c r="S315" i="1"/>
  <c r="R316" i="1" s="1"/>
  <c r="T316" i="1" s="1"/>
  <c r="S317" i="1"/>
  <c r="R318" i="1" s="1"/>
  <c r="T318" i="1" s="1"/>
  <c r="S319" i="1"/>
  <c r="R320" i="1" s="1"/>
  <c r="S321" i="1"/>
  <c r="S323" i="1"/>
  <c r="R324" i="1" s="1"/>
  <c r="T324" i="1" s="1"/>
  <c r="S325" i="1"/>
  <c r="R326" i="1" s="1"/>
  <c r="T326" i="1" s="1"/>
  <c r="S327" i="1"/>
  <c r="R328" i="1" s="1"/>
  <c r="S329" i="1"/>
  <c r="S331" i="1"/>
  <c r="R332" i="1" s="1"/>
  <c r="T332" i="1" s="1"/>
  <c r="S333" i="1"/>
  <c r="R334" i="1" s="1"/>
  <c r="T334" i="1" s="1"/>
  <c r="S335" i="1"/>
  <c r="R336" i="1" s="1"/>
  <c r="S337" i="1"/>
  <c r="S339" i="1"/>
  <c r="R340" i="1" s="1"/>
  <c r="T340" i="1" s="1"/>
  <c r="S341" i="1"/>
  <c r="R342" i="1" s="1"/>
  <c r="T342" i="1" s="1"/>
  <c r="S343" i="1"/>
  <c r="S345" i="1"/>
  <c r="S347" i="1"/>
  <c r="R348" i="1" s="1"/>
  <c r="T348" i="1" s="1"/>
  <c r="S349" i="1"/>
  <c r="R350" i="1" s="1"/>
  <c r="T350" i="1" s="1"/>
  <c r="S351" i="1"/>
  <c r="R352" i="1" s="1"/>
  <c r="S353" i="1"/>
  <c r="S355" i="1"/>
  <c r="R356" i="1" s="1"/>
  <c r="T356" i="1" s="1"/>
  <c r="S357" i="1"/>
  <c r="R358" i="1" s="1"/>
  <c r="T358" i="1" s="1"/>
  <c r="S359" i="1"/>
  <c r="R360" i="1" s="1"/>
  <c r="S361" i="1"/>
  <c r="S363" i="1"/>
  <c r="R364" i="1" s="1"/>
  <c r="T364" i="1" s="1"/>
  <c r="S365" i="1"/>
  <c r="R366" i="1" s="1"/>
  <c r="T366" i="1" s="1"/>
  <c r="S367" i="1"/>
  <c r="R368" i="1" s="1"/>
  <c r="S369" i="1"/>
  <c r="S371" i="1"/>
  <c r="R372" i="1" s="1"/>
  <c r="T372" i="1" s="1"/>
  <c r="S373" i="1"/>
  <c r="R374" i="1" s="1"/>
  <c r="T374" i="1" s="1"/>
  <c r="S375" i="1"/>
  <c r="S377" i="1"/>
  <c r="S379" i="1"/>
  <c r="R380" i="1" s="1"/>
  <c r="T380" i="1" s="1"/>
  <c r="S381" i="1"/>
  <c r="R382" i="1" s="1"/>
  <c r="T382" i="1" s="1"/>
  <c r="S383" i="1"/>
  <c r="R384" i="1" s="1"/>
  <c r="S385" i="1"/>
  <c r="S387" i="1"/>
  <c r="R388" i="1" s="1"/>
  <c r="T388" i="1" s="1"/>
  <c r="S389" i="1"/>
  <c r="R390" i="1" s="1"/>
  <c r="T390" i="1" s="1"/>
  <c r="S391" i="1"/>
  <c r="R392" i="1" s="1"/>
  <c r="S393" i="1"/>
  <c r="S395" i="1"/>
  <c r="R396" i="1" s="1"/>
  <c r="T396" i="1" s="1"/>
  <c r="S397" i="1"/>
  <c r="R398" i="1" s="1"/>
  <c r="T398" i="1" s="1"/>
  <c r="S399" i="1"/>
  <c r="R400" i="1" s="1"/>
  <c r="S401" i="1"/>
  <c r="S403" i="1"/>
  <c r="R404" i="1" s="1"/>
  <c r="T404" i="1" s="1"/>
  <c r="S405" i="1"/>
  <c r="R406" i="1" s="1"/>
  <c r="T406" i="1" s="1"/>
  <c r="S407" i="1"/>
  <c r="U17" i="1"/>
  <c r="S70" i="1"/>
  <c r="R71" i="1" s="1"/>
  <c r="S58" i="1"/>
  <c r="S69" i="1"/>
  <c r="R70" i="1" s="1"/>
  <c r="T39" i="1"/>
  <c r="V39" i="1" s="1"/>
  <c r="T56" i="1"/>
  <c r="U56" i="1" s="1"/>
  <c r="U22" i="1"/>
  <c r="R76" i="1"/>
  <c r="U19" i="1"/>
  <c r="U18" i="1"/>
  <c r="V20" i="1"/>
  <c r="R85" i="1"/>
  <c r="T85" i="1" s="1"/>
  <c r="R91" i="1"/>
  <c r="R99" i="1"/>
  <c r="T99" i="1" s="1"/>
  <c r="R105" i="1"/>
  <c r="R113" i="1"/>
  <c r="T113" i="1" s="1"/>
  <c r="R123" i="1"/>
  <c r="T123" i="1" s="1"/>
  <c r="R125" i="1"/>
  <c r="T125" i="1" s="1"/>
  <c r="R127" i="1"/>
  <c r="T127" i="1" s="1"/>
  <c r="R135" i="1"/>
  <c r="T135" i="1" s="1"/>
  <c r="R141" i="1"/>
  <c r="R143" i="1"/>
  <c r="T143" i="1" s="1"/>
  <c r="R147" i="1"/>
  <c r="R155" i="1"/>
  <c r="R161" i="1"/>
  <c r="T161" i="1" s="1"/>
  <c r="R167" i="1"/>
  <c r="T167" i="1" s="1"/>
  <c r="R169" i="1"/>
  <c r="T169" i="1" s="1"/>
  <c r="R179" i="1"/>
  <c r="T179" i="1" s="1"/>
  <c r="R187" i="1"/>
  <c r="T187" i="1" s="1"/>
  <c r="R197" i="1"/>
  <c r="R205" i="1"/>
  <c r="R207" i="1"/>
  <c r="T207" i="1" s="1"/>
  <c r="R215" i="1"/>
  <c r="T215" i="1" s="1"/>
  <c r="R223" i="1"/>
  <c r="T223" i="1" s="1"/>
  <c r="R231" i="1"/>
  <c r="T231" i="1" s="1"/>
  <c r="R239" i="1"/>
  <c r="T239" i="1" s="1"/>
  <c r="R247" i="1"/>
  <c r="T247" i="1" s="1"/>
  <c r="R255" i="1"/>
  <c r="T255" i="1" s="1"/>
  <c r="R263" i="1"/>
  <c r="T263" i="1" s="1"/>
  <c r="R271" i="1"/>
  <c r="T271" i="1" s="1"/>
  <c r="R279" i="1"/>
  <c r="T279" i="1" s="1"/>
  <c r="R287" i="1"/>
  <c r="T287" i="1" s="1"/>
  <c r="R295" i="1"/>
  <c r="R299" i="1"/>
  <c r="T299" i="1" s="1"/>
  <c r="R303" i="1"/>
  <c r="T303" i="1" s="1"/>
  <c r="R311" i="1"/>
  <c r="R319" i="1"/>
  <c r="T319" i="1" s="1"/>
  <c r="R327" i="1"/>
  <c r="R335" i="1"/>
  <c r="T335" i="1" s="1"/>
  <c r="R343" i="1"/>
  <c r="T343" i="1" s="1"/>
  <c r="R351" i="1"/>
  <c r="T351" i="1" s="1"/>
  <c r="R359" i="1"/>
  <c r="T359" i="1" s="1"/>
  <c r="R367" i="1"/>
  <c r="R375" i="1"/>
  <c r="T375" i="1" s="1"/>
  <c r="R383" i="1"/>
  <c r="T383" i="1" s="1"/>
  <c r="R391" i="1"/>
  <c r="R399" i="1"/>
  <c r="T399" i="1" s="1"/>
  <c r="R401" i="1"/>
  <c r="T401" i="1" s="1"/>
  <c r="R407" i="1"/>
  <c r="T407" i="1" s="1"/>
  <c r="V23" i="1"/>
  <c r="U23" i="1"/>
  <c r="U3" i="1"/>
  <c r="V57" i="1"/>
  <c r="U57" i="1"/>
  <c r="V18" i="1"/>
  <c r="U20" i="1"/>
  <c r="R24" i="1"/>
  <c r="V3" i="1"/>
  <c r="R74" i="1"/>
  <c r="R86" i="1"/>
  <c r="T86" i="1" s="1"/>
  <c r="R88" i="1"/>
  <c r="T88" i="1" s="1"/>
  <c r="R92" i="1"/>
  <c r="T92" i="1" s="1"/>
  <c r="R98" i="1"/>
  <c r="T98" i="1" s="1"/>
  <c r="R106" i="1"/>
  <c r="T106" i="1" s="1"/>
  <c r="R114" i="1"/>
  <c r="R120" i="1"/>
  <c r="T120" i="1" s="1"/>
  <c r="R122" i="1"/>
  <c r="T122" i="1" s="1"/>
  <c r="R130" i="1"/>
  <c r="T130" i="1" s="1"/>
  <c r="R138" i="1"/>
  <c r="T138" i="1" s="1"/>
  <c r="R146" i="1"/>
  <c r="T146" i="1" s="1"/>
  <c r="R154" i="1"/>
  <c r="R162" i="1"/>
  <c r="T162" i="1" s="1"/>
  <c r="R170" i="1"/>
  <c r="R178" i="1"/>
  <c r="T178" i="1" s="1"/>
  <c r="R182" i="1"/>
  <c r="T182" i="1" s="1"/>
  <c r="R186" i="1"/>
  <c r="T186" i="1" s="1"/>
  <c r="R194" i="1"/>
  <c r="T194" i="1" s="1"/>
  <c r="R202" i="1"/>
  <c r="T202" i="1" s="1"/>
  <c r="R208" i="1"/>
  <c r="T208" i="1" s="1"/>
  <c r="R210" i="1"/>
  <c r="T210" i="1" s="1"/>
  <c r="R218" i="1"/>
  <c r="T218" i="1" s="1"/>
  <c r="R226" i="1"/>
  <c r="R234" i="1"/>
  <c r="T234" i="1" s="1"/>
  <c r="R242" i="1"/>
  <c r="T242" i="1" s="1"/>
  <c r="R244" i="1"/>
  <c r="T244" i="1" s="1"/>
  <c r="R258" i="1"/>
  <c r="T258" i="1" s="1"/>
  <c r="R262" i="1"/>
  <c r="T262" i="1" s="1"/>
  <c r="R266" i="1"/>
  <c r="T266" i="1" s="1"/>
  <c r="R274" i="1"/>
  <c r="T274" i="1" s="1"/>
  <c r="R280" i="1"/>
  <c r="R282" i="1"/>
  <c r="T282" i="1" s="1"/>
  <c r="R290" i="1"/>
  <c r="T290" i="1" s="1"/>
  <c r="R298" i="1"/>
  <c r="T298" i="1" s="1"/>
  <c r="R306" i="1"/>
  <c r="T306" i="1" s="1"/>
  <c r="R314" i="1"/>
  <c r="T314" i="1" s="1"/>
  <c r="R322" i="1"/>
  <c r="T322" i="1" s="1"/>
  <c r="R330" i="1"/>
  <c r="T330" i="1" s="1"/>
  <c r="R338" i="1"/>
  <c r="T338" i="1" s="1"/>
  <c r="R344" i="1"/>
  <c r="R346" i="1"/>
  <c r="T346" i="1" s="1"/>
  <c r="R354" i="1"/>
  <c r="T354" i="1" s="1"/>
  <c r="R362" i="1"/>
  <c r="T362" i="1" s="1"/>
  <c r="R370" i="1"/>
  <c r="T370" i="1" s="1"/>
  <c r="R376" i="1"/>
  <c r="R378" i="1"/>
  <c r="T378" i="1" s="1"/>
  <c r="R386" i="1"/>
  <c r="T386" i="1" s="1"/>
  <c r="R394" i="1"/>
  <c r="T394" i="1" s="1"/>
  <c r="R402" i="1"/>
  <c r="T402" i="1" s="1"/>
  <c r="R250" i="1"/>
  <c r="T250" i="1" s="1"/>
  <c r="V8" i="1"/>
  <c r="U8" i="1"/>
  <c r="U33" i="1"/>
  <c r="V33" i="1"/>
  <c r="U34" i="1"/>
  <c r="V34" i="1"/>
  <c r="U35" i="1"/>
  <c r="V35" i="1"/>
  <c r="U42" i="1"/>
  <c r="V42" i="1"/>
  <c r="U43" i="1"/>
  <c r="V43" i="1"/>
  <c r="U50" i="1"/>
  <c r="U40" i="1"/>
  <c r="V40" i="1"/>
  <c r="U41" i="1"/>
  <c r="V41" i="1"/>
  <c r="U49" i="1"/>
  <c r="V49" i="1"/>
  <c r="U36" i="1"/>
  <c r="V36" i="1"/>
  <c r="U37" i="1"/>
  <c r="V37" i="1"/>
  <c r="U44" i="1"/>
  <c r="V44" i="1"/>
  <c r="U45" i="1"/>
  <c r="V45" i="1"/>
  <c r="U52" i="1"/>
  <c r="V52" i="1"/>
  <c r="U53" i="1"/>
  <c r="V53" i="1"/>
  <c r="U48" i="1"/>
  <c r="V48" i="1"/>
  <c r="U38" i="1"/>
  <c r="V38" i="1"/>
  <c r="U39" i="1"/>
  <c r="U46" i="1"/>
  <c r="V46" i="1"/>
  <c r="U47" i="1"/>
  <c r="V47" i="1"/>
  <c r="U54" i="1"/>
  <c r="V54" i="1"/>
  <c r="U55" i="1"/>
  <c r="V55" i="1"/>
  <c r="T199" i="1" l="1"/>
  <c r="U199" i="1" s="1"/>
  <c r="T280" i="1"/>
  <c r="U226" i="1"/>
  <c r="T226" i="1"/>
  <c r="T74" i="1"/>
  <c r="T205" i="1"/>
  <c r="T141" i="1"/>
  <c r="V141" i="1" s="1"/>
  <c r="T236" i="1"/>
  <c r="U236" i="1" s="1"/>
  <c r="T204" i="1"/>
  <c r="T188" i="1"/>
  <c r="U188" i="1" s="1"/>
  <c r="T172" i="1"/>
  <c r="T156" i="1"/>
  <c r="T140" i="1"/>
  <c r="U140" i="1" s="1"/>
  <c r="T132" i="1"/>
  <c r="T124" i="1"/>
  <c r="T116" i="1"/>
  <c r="T100" i="1"/>
  <c r="U100" i="1" s="1"/>
  <c r="T90" i="1"/>
  <c r="T181" i="1"/>
  <c r="T165" i="1"/>
  <c r="T131" i="1"/>
  <c r="U131" i="1" s="1"/>
  <c r="T111" i="1"/>
  <c r="T93" i="1"/>
  <c r="T73" i="1"/>
  <c r="U154" i="1"/>
  <c r="T154" i="1"/>
  <c r="T105" i="1"/>
  <c r="U105" i="1" s="1"/>
  <c r="T117" i="1"/>
  <c r="V117" i="1" s="1"/>
  <c r="T189" i="1"/>
  <c r="V51" i="1"/>
  <c r="T376" i="1"/>
  <c r="T170" i="1"/>
  <c r="V170" i="1" s="1"/>
  <c r="T391" i="1"/>
  <c r="U391" i="1" s="1"/>
  <c r="T367" i="1"/>
  <c r="T311" i="1"/>
  <c r="V311" i="1" s="1"/>
  <c r="T295" i="1"/>
  <c r="T155" i="1"/>
  <c r="V155" i="1" s="1"/>
  <c r="U91" i="1"/>
  <c r="T91" i="1"/>
  <c r="T405" i="1"/>
  <c r="T397" i="1"/>
  <c r="T389" i="1"/>
  <c r="V389" i="1" s="1"/>
  <c r="T381" i="1"/>
  <c r="T373" i="1"/>
  <c r="T365" i="1"/>
  <c r="T357" i="1"/>
  <c r="U357" i="1" s="1"/>
  <c r="T349" i="1"/>
  <c r="T341" i="1"/>
  <c r="T333" i="1"/>
  <c r="T325" i="1"/>
  <c r="V325" i="1" s="1"/>
  <c r="T317" i="1"/>
  <c r="T309" i="1"/>
  <c r="T301" i="1"/>
  <c r="T293" i="1"/>
  <c r="U293" i="1" s="1"/>
  <c r="T285" i="1"/>
  <c r="T277" i="1"/>
  <c r="T269" i="1"/>
  <c r="T261" i="1"/>
  <c r="U261" i="1" s="1"/>
  <c r="T253" i="1"/>
  <c r="T245" i="1"/>
  <c r="T237" i="1"/>
  <c r="T229" i="1"/>
  <c r="U229" i="1" s="1"/>
  <c r="T221" i="1"/>
  <c r="T213" i="1"/>
  <c r="T203" i="1"/>
  <c r="T195" i="1"/>
  <c r="U195" i="1" s="1"/>
  <c r="T183" i="1"/>
  <c r="T153" i="1"/>
  <c r="T137" i="1"/>
  <c r="T109" i="1"/>
  <c r="V109" i="1" s="1"/>
  <c r="T95" i="1"/>
  <c r="T327" i="1"/>
  <c r="U327" i="1" s="1"/>
  <c r="T133" i="1"/>
  <c r="V133" i="1" s="1"/>
  <c r="T173" i="1"/>
  <c r="T344" i="1"/>
  <c r="T114" i="1"/>
  <c r="T197" i="1"/>
  <c r="U197" i="1" s="1"/>
  <c r="T147" i="1"/>
  <c r="V147" i="1" s="1"/>
  <c r="T76" i="1"/>
  <c r="V76" i="1" s="1"/>
  <c r="T400" i="1"/>
  <c r="T392" i="1"/>
  <c r="T384" i="1"/>
  <c r="T368" i="1"/>
  <c r="V368" i="1" s="1"/>
  <c r="T360" i="1"/>
  <c r="T352" i="1"/>
  <c r="T336" i="1"/>
  <c r="T328" i="1"/>
  <c r="U328" i="1" s="1"/>
  <c r="T320" i="1"/>
  <c r="T312" i="1"/>
  <c r="T304" i="1"/>
  <c r="T296" i="1"/>
  <c r="V296" i="1" s="1"/>
  <c r="T288" i="1"/>
  <c r="T272" i="1"/>
  <c r="T264" i="1"/>
  <c r="T256" i="1"/>
  <c r="U256" i="1" s="1"/>
  <c r="T248" i="1"/>
  <c r="T240" i="1"/>
  <c r="T232" i="1"/>
  <c r="U232" i="1" s="1"/>
  <c r="T224" i="1"/>
  <c r="T216" i="1"/>
  <c r="T184" i="1"/>
  <c r="V168" i="1"/>
  <c r="T168" i="1"/>
  <c r="T152" i="1"/>
  <c r="U152" i="1" s="1"/>
  <c r="T144" i="1"/>
  <c r="V144" i="1" s="1"/>
  <c r="T128" i="1"/>
  <c r="T96" i="1"/>
  <c r="T193" i="1"/>
  <c r="T175" i="1"/>
  <c r="U175" i="1" s="1"/>
  <c r="T157" i="1"/>
  <c r="T121" i="1"/>
  <c r="U121" i="1" s="1"/>
  <c r="T101" i="1"/>
  <c r="V101" i="1" s="1"/>
  <c r="T80" i="1"/>
  <c r="T403" i="1"/>
  <c r="T395" i="1"/>
  <c r="T387" i="1"/>
  <c r="T379" i="1"/>
  <c r="T371" i="1"/>
  <c r="T363" i="1"/>
  <c r="T355" i="1"/>
  <c r="U355" i="1" s="1"/>
  <c r="T347" i="1"/>
  <c r="T339" i="1"/>
  <c r="T331" i="1"/>
  <c r="T323" i="1"/>
  <c r="V323" i="1" s="1"/>
  <c r="T315" i="1"/>
  <c r="T307" i="1"/>
  <c r="T291" i="1"/>
  <c r="T283" i="1"/>
  <c r="T275" i="1"/>
  <c r="T267" i="1"/>
  <c r="T259" i="1"/>
  <c r="T251" i="1"/>
  <c r="T243" i="1"/>
  <c r="T235" i="1"/>
  <c r="T227" i="1"/>
  <c r="T219" i="1"/>
  <c r="V219" i="1" s="1"/>
  <c r="T211" i="1"/>
  <c r="T201" i="1"/>
  <c r="U201" i="1" s="1"/>
  <c r="T191" i="1"/>
  <c r="T177" i="1"/>
  <c r="T163" i="1"/>
  <c r="T149" i="1"/>
  <c r="T119" i="1"/>
  <c r="U119" i="1" s="1"/>
  <c r="T107" i="1"/>
  <c r="T89" i="1"/>
  <c r="T79" i="1"/>
  <c r="V79" i="1" s="1"/>
  <c r="V84" i="1"/>
  <c r="T84" i="1"/>
  <c r="T71" i="1"/>
  <c r="T70" i="1"/>
  <c r="V70" i="1" s="1"/>
  <c r="T58" i="1"/>
  <c r="U58" i="1" s="1"/>
  <c r="V185" i="1"/>
  <c r="U185" i="1"/>
  <c r="V149" i="1"/>
  <c r="V167" i="1"/>
  <c r="U139" i="1"/>
  <c r="V242" i="1"/>
  <c r="V132" i="1"/>
  <c r="V181" i="1"/>
  <c r="U93" i="1"/>
  <c r="U321" i="1"/>
  <c r="U281" i="1"/>
  <c r="U233" i="1"/>
  <c r="U225" i="1"/>
  <c r="U217" i="1"/>
  <c r="V189" i="1"/>
  <c r="U173" i="1"/>
  <c r="V145" i="1"/>
  <c r="V75" i="1"/>
  <c r="U298" i="1"/>
  <c r="U162" i="1"/>
  <c r="U205" i="1"/>
  <c r="V125" i="1"/>
  <c r="V184" i="1"/>
  <c r="U96" i="1"/>
  <c r="U157" i="1"/>
  <c r="U405" i="1"/>
  <c r="V373" i="1"/>
  <c r="U341" i="1"/>
  <c r="V309" i="1"/>
  <c r="U277" i="1"/>
  <c r="V245" i="1"/>
  <c r="U213" i="1"/>
  <c r="U153" i="1"/>
  <c r="V32" i="1"/>
  <c r="U183" i="1"/>
  <c r="V183" i="1"/>
  <c r="U129" i="1"/>
  <c r="V129" i="1"/>
  <c r="V111" i="1"/>
  <c r="U95" i="1"/>
  <c r="U194" i="1"/>
  <c r="U399" i="1"/>
  <c r="U367" i="1"/>
  <c r="U303" i="1"/>
  <c r="U239" i="1"/>
  <c r="V207" i="1"/>
  <c r="V375" i="1"/>
  <c r="V279" i="1"/>
  <c r="V177" i="1"/>
  <c r="U177" i="1"/>
  <c r="V203" i="1"/>
  <c r="V103" i="1"/>
  <c r="U267" i="1"/>
  <c r="U21" i="1"/>
  <c r="U271" i="1"/>
  <c r="U97" i="1"/>
  <c r="V97" i="1"/>
  <c r="U202" i="1"/>
  <c r="V407" i="1"/>
  <c r="U343" i="1"/>
  <c r="V215" i="1"/>
  <c r="V56" i="1"/>
  <c r="V383" i="1"/>
  <c r="U351" i="1"/>
  <c r="U319" i="1"/>
  <c r="U287" i="1"/>
  <c r="V255" i="1"/>
  <c r="V223" i="1"/>
  <c r="U191" i="1"/>
  <c r="U77" i="1"/>
  <c r="V198" i="1"/>
  <c r="U182" i="1"/>
  <c r="U174" i="1"/>
  <c r="U92" i="1"/>
  <c r="U72" i="1"/>
  <c r="V151" i="1"/>
  <c r="V143" i="1"/>
  <c r="U135" i="1"/>
  <c r="V127" i="1"/>
  <c r="V89" i="1"/>
  <c r="U146" i="1"/>
  <c r="V138" i="1"/>
  <c r="U130" i="1"/>
  <c r="V122" i="1"/>
  <c r="V114" i="1"/>
  <c r="U80" i="1"/>
  <c r="U403" i="1"/>
  <c r="U387" i="1"/>
  <c r="U379" i="1"/>
  <c r="V371" i="1"/>
  <c r="V347" i="1"/>
  <c r="U339" i="1"/>
  <c r="V331" i="1"/>
  <c r="V315" i="1"/>
  <c r="V307" i="1"/>
  <c r="U299" i="1"/>
  <c r="U291" i="1"/>
  <c r="V283" i="1"/>
  <c r="V259" i="1"/>
  <c r="U227" i="1"/>
  <c r="V211" i="1"/>
  <c r="U179" i="1"/>
  <c r="V163" i="1"/>
  <c r="U255" i="1"/>
  <c r="R59" i="1"/>
  <c r="U335" i="1"/>
  <c r="V335" i="1"/>
  <c r="V140" i="1"/>
  <c r="V230" i="1"/>
  <c r="V139" i="1"/>
  <c r="U369" i="1"/>
  <c r="U363" i="1"/>
  <c r="V363" i="1"/>
  <c r="V236" i="1"/>
  <c r="V194" i="1"/>
  <c r="V175" i="1"/>
  <c r="V319" i="1"/>
  <c r="V287" i="1"/>
  <c r="V209" i="1"/>
  <c r="U209" i="1"/>
  <c r="U99" i="1"/>
  <c r="V99" i="1"/>
  <c r="V88" i="1"/>
  <c r="V225" i="1"/>
  <c r="V199" i="1"/>
  <c r="U84" i="1"/>
  <c r="V91" i="1"/>
  <c r="V327" i="1"/>
  <c r="V73" i="1"/>
  <c r="V222" i="1"/>
  <c r="V395" i="1"/>
  <c r="U87" i="1"/>
  <c r="V87" i="1"/>
  <c r="V216" i="1"/>
  <c r="U151" i="1"/>
  <c r="U89" i="1"/>
  <c r="V77" i="1"/>
  <c r="V226" i="1"/>
  <c r="U193" i="1"/>
  <c r="U218" i="1"/>
  <c r="V176" i="1"/>
  <c r="U123" i="1"/>
  <c r="V123" i="1"/>
  <c r="U106" i="1"/>
  <c r="U295" i="1"/>
  <c r="V295" i="1"/>
  <c r="V159" i="1"/>
  <c r="U159" i="1"/>
  <c r="U347" i="1"/>
  <c r="U331" i="1"/>
  <c r="V187" i="1"/>
  <c r="U187" i="1"/>
  <c r="V173" i="1"/>
  <c r="U103" i="1"/>
  <c r="U83" i="1"/>
  <c r="V385" i="1"/>
  <c r="V83" i="1"/>
  <c r="U155" i="1"/>
  <c r="U377" i="1"/>
  <c r="U393" i="1"/>
  <c r="V377" i="1"/>
  <c r="V369" i="1"/>
  <c r="U145" i="1"/>
  <c r="U216" i="1"/>
  <c r="U385" i="1"/>
  <c r="V401" i="1"/>
  <c r="U401" i="1"/>
  <c r="V393" i="1"/>
  <c r="V130" i="1"/>
  <c r="V271" i="1"/>
  <c r="U221" i="1"/>
  <c r="V359" i="1"/>
  <c r="U359" i="1"/>
  <c r="V208" i="1"/>
  <c r="U208" i="1"/>
  <c r="U122" i="1"/>
  <c r="U163" i="1"/>
  <c r="U307" i="1"/>
  <c r="V201" i="1"/>
  <c r="U234" i="1"/>
  <c r="V156" i="1"/>
  <c r="U212" i="1"/>
  <c r="V190" i="1"/>
  <c r="U190" i="1"/>
  <c r="V180" i="1"/>
  <c r="V102" i="1"/>
  <c r="V80" i="1"/>
  <c r="U371" i="1"/>
  <c r="U71" i="1"/>
  <c r="V71" i="1"/>
  <c r="V107" i="1"/>
  <c r="U107" i="1"/>
  <c r="V81" i="1"/>
  <c r="U81" i="1"/>
  <c r="V152" i="1"/>
  <c r="V231" i="1"/>
  <c r="U207" i="1"/>
  <c r="U237" i="1"/>
  <c r="V234" i="1"/>
  <c r="V202" i="1"/>
  <c r="V243" i="1"/>
  <c r="V212" i="1"/>
  <c r="U114" i="1"/>
  <c r="V106" i="1"/>
  <c r="V391" i="1"/>
  <c r="V403" i="1"/>
  <c r="V275" i="1"/>
  <c r="U275" i="1"/>
  <c r="V227" i="1"/>
  <c r="V157" i="1"/>
  <c r="U143" i="1"/>
  <c r="V121" i="1"/>
  <c r="V105" i="1"/>
  <c r="U73" i="1"/>
  <c r="U88" i="1"/>
  <c r="U222" i="1"/>
  <c r="U231" i="1"/>
  <c r="U230" i="1"/>
  <c r="V237" i="1"/>
  <c r="V343" i="1"/>
  <c r="V154" i="1"/>
  <c r="U383" i="1"/>
  <c r="U243" i="1"/>
  <c r="U395" i="1"/>
  <c r="V339" i="1"/>
  <c r="V217" i="1"/>
  <c r="U111" i="1"/>
  <c r="U200" i="1"/>
  <c r="V220" i="1"/>
  <c r="U220" i="1"/>
  <c r="V204" i="1"/>
  <c r="U204" i="1"/>
  <c r="U178" i="1"/>
  <c r="V178" i="1"/>
  <c r="U126" i="1"/>
  <c r="V126" i="1"/>
  <c r="U386" i="1"/>
  <c r="V386" i="1"/>
  <c r="V224" i="1"/>
  <c r="U224" i="1"/>
  <c r="V192" i="1"/>
  <c r="U192" i="1"/>
  <c r="U228" i="1"/>
  <c r="V228" i="1"/>
  <c r="U196" i="1"/>
  <c r="V196" i="1"/>
  <c r="U166" i="1"/>
  <c r="V166" i="1"/>
  <c r="U160" i="1"/>
  <c r="V160" i="1"/>
  <c r="V86" i="1"/>
  <c r="U86" i="1"/>
  <c r="V210" i="1"/>
  <c r="U210" i="1"/>
  <c r="V206" i="1"/>
  <c r="U206" i="1"/>
  <c r="U164" i="1"/>
  <c r="V164" i="1"/>
  <c r="U158" i="1"/>
  <c r="V158" i="1"/>
  <c r="U134" i="1"/>
  <c r="V134" i="1"/>
  <c r="V110" i="1"/>
  <c r="U110" i="1"/>
  <c r="V240" i="1"/>
  <c r="U240" i="1"/>
  <c r="U402" i="1"/>
  <c r="V402" i="1"/>
  <c r="V396" i="1"/>
  <c r="U396" i="1"/>
  <c r="V388" i="1"/>
  <c r="U388" i="1"/>
  <c r="V382" i="1"/>
  <c r="U382" i="1"/>
  <c r="U374" i="1"/>
  <c r="V374" i="1"/>
  <c r="U368" i="1"/>
  <c r="U360" i="1"/>
  <c r="V360" i="1"/>
  <c r="V352" i="1"/>
  <c r="U352" i="1"/>
  <c r="V344" i="1"/>
  <c r="U344" i="1"/>
  <c r="V336" i="1"/>
  <c r="U336" i="1"/>
  <c r="U320" i="1"/>
  <c r="V320" i="1"/>
  <c r="U312" i="1"/>
  <c r="V312" i="1"/>
  <c r="V304" i="1"/>
  <c r="U304" i="1"/>
  <c r="V288" i="1"/>
  <c r="U288" i="1"/>
  <c r="V280" i="1"/>
  <c r="U280" i="1"/>
  <c r="V272" i="1"/>
  <c r="U272" i="1"/>
  <c r="V264" i="1"/>
  <c r="U264" i="1"/>
  <c r="V256" i="1"/>
  <c r="U242" i="1"/>
  <c r="U172" i="1"/>
  <c r="U168" i="1"/>
  <c r="U148" i="1"/>
  <c r="V148" i="1"/>
  <c r="V142" i="1"/>
  <c r="U142" i="1"/>
  <c r="V120" i="1"/>
  <c r="U120" i="1"/>
  <c r="V104" i="1"/>
  <c r="U104" i="1"/>
  <c r="V98" i="1"/>
  <c r="U98" i="1"/>
  <c r="U78" i="1"/>
  <c r="V78" i="1"/>
  <c r="U70" i="1"/>
  <c r="V241" i="1"/>
  <c r="U241" i="1"/>
  <c r="V165" i="1"/>
  <c r="U165" i="1"/>
  <c r="V365" i="1"/>
  <c r="U365" i="1"/>
  <c r="V357" i="1"/>
  <c r="V349" i="1"/>
  <c r="U349" i="1"/>
  <c r="V337" i="1"/>
  <c r="U337" i="1"/>
  <c r="U329" i="1"/>
  <c r="V329" i="1"/>
  <c r="V293" i="1"/>
  <c r="U285" i="1"/>
  <c r="V285" i="1"/>
  <c r="V113" i="1"/>
  <c r="U113" i="1"/>
  <c r="V85" i="1"/>
  <c r="U85" i="1"/>
  <c r="U253" i="1"/>
  <c r="V253" i="1"/>
  <c r="V193" i="1"/>
  <c r="U238" i="1"/>
  <c r="V221" i="1"/>
  <c r="V205" i="1"/>
  <c r="U214" i="1"/>
  <c r="U263" i="1"/>
  <c r="U186" i="1"/>
  <c r="V252" i="1"/>
  <c r="U252" i="1"/>
  <c r="V394" i="1"/>
  <c r="U394" i="1"/>
  <c r="V380" i="1"/>
  <c r="U380" i="1"/>
  <c r="V372" i="1"/>
  <c r="U372" i="1"/>
  <c r="U366" i="1"/>
  <c r="V366" i="1"/>
  <c r="U358" i="1"/>
  <c r="V358" i="1"/>
  <c r="V350" i="1"/>
  <c r="U350" i="1"/>
  <c r="U342" i="1"/>
  <c r="V342" i="1"/>
  <c r="U334" i="1"/>
  <c r="V334" i="1"/>
  <c r="V326" i="1"/>
  <c r="U326" i="1"/>
  <c r="U318" i="1"/>
  <c r="V318" i="1"/>
  <c r="V310" i="1"/>
  <c r="U310" i="1"/>
  <c r="U302" i="1"/>
  <c r="V302" i="1"/>
  <c r="V294" i="1"/>
  <c r="U294" i="1"/>
  <c r="V286" i="1"/>
  <c r="U286" i="1"/>
  <c r="U278" i="1"/>
  <c r="V278" i="1"/>
  <c r="V270" i="1"/>
  <c r="U270" i="1"/>
  <c r="V262" i="1"/>
  <c r="U262" i="1"/>
  <c r="V254" i="1"/>
  <c r="U254" i="1"/>
  <c r="U180" i="1"/>
  <c r="U176" i="1"/>
  <c r="V136" i="1"/>
  <c r="U136" i="1"/>
  <c r="U124" i="1"/>
  <c r="V124" i="1"/>
  <c r="U118" i="1"/>
  <c r="V118" i="1"/>
  <c r="V108" i="1"/>
  <c r="U108" i="1"/>
  <c r="U102" i="1"/>
  <c r="V90" i="1"/>
  <c r="U90" i="1"/>
  <c r="V82" i="1"/>
  <c r="U82" i="1"/>
  <c r="V247" i="1"/>
  <c r="U247" i="1"/>
  <c r="V161" i="1"/>
  <c r="U161" i="1"/>
  <c r="U133" i="1"/>
  <c r="U345" i="1"/>
  <c r="V345" i="1"/>
  <c r="U317" i="1"/>
  <c r="V317" i="1"/>
  <c r="U301" i="1"/>
  <c r="V301" i="1"/>
  <c r="U269" i="1"/>
  <c r="V269" i="1"/>
  <c r="U147" i="1"/>
  <c r="V238" i="1"/>
  <c r="V218" i="1"/>
  <c r="V214" i="1"/>
  <c r="V200" i="1"/>
  <c r="V172" i="1"/>
  <c r="V263" i="1"/>
  <c r="V186" i="1"/>
  <c r="V250" i="1"/>
  <c r="U250" i="1"/>
  <c r="V406" i="1"/>
  <c r="U406" i="1"/>
  <c r="V400" i="1"/>
  <c r="U400" i="1"/>
  <c r="V392" i="1"/>
  <c r="U392" i="1"/>
  <c r="V378" i="1"/>
  <c r="U378" i="1"/>
  <c r="U370" i="1"/>
  <c r="V370" i="1"/>
  <c r="V364" i="1"/>
  <c r="U364" i="1"/>
  <c r="V356" i="1"/>
  <c r="U356" i="1"/>
  <c r="U348" i="1"/>
  <c r="V348" i="1"/>
  <c r="V340" i="1"/>
  <c r="U340" i="1"/>
  <c r="U332" i="1"/>
  <c r="V332" i="1"/>
  <c r="V324" i="1"/>
  <c r="U324" i="1"/>
  <c r="V316" i="1"/>
  <c r="U316" i="1"/>
  <c r="U308" i="1"/>
  <c r="V308" i="1"/>
  <c r="U300" i="1"/>
  <c r="V300" i="1"/>
  <c r="V292" i="1"/>
  <c r="U292" i="1"/>
  <c r="V284" i="1"/>
  <c r="U284" i="1"/>
  <c r="V276" i="1"/>
  <c r="U276" i="1"/>
  <c r="U268" i="1"/>
  <c r="V268" i="1"/>
  <c r="U260" i="1"/>
  <c r="V260" i="1"/>
  <c r="V246" i="1"/>
  <c r="U246" i="1"/>
  <c r="U184" i="1"/>
  <c r="U156" i="1"/>
  <c r="V150" i="1"/>
  <c r="U150" i="1"/>
  <c r="U128" i="1"/>
  <c r="V128" i="1"/>
  <c r="V112" i="1"/>
  <c r="U112" i="1"/>
  <c r="V94" i="1"/>
  <c r="U94" i="1"/>
  <c r="V74" i="1"/>
  <c r="U74" i="1"/>
  <c r="U245" i="1"/>
  <c r="V169" i="1"/>
  <c r="U169" i="1"/>
  <c r="V397" i="1"/>
  <c r="U397" i="1"/>
  <c r="V381" i="1"/>
  <c r="U381" i="1"/>
  <c r="U361" i="1"/>
  <c r="V361" i="1"/>
  <c r="U353" i="1"/>
  <c r="V353" i="1"/>
  <c r="V333" i="1"/>
  <c r="U333" i="1"/>
  <c r="U325" i="1"/>
  <c r="V289" i="1"/>
  <c r="U289" i="1"/>
  <c r="U257" i="1"/>
  <c r="V257" i="1"/>
  <c r="U249" i="1"/>
  <c r="V249" i="1"/>
  <c r="V248" i="1"/>
  <c r="U248" i="1"/>
  <c r="V404" i="1"/>
  <c r="U404" i="1"/>
  <c r="V398" i="1"/>
  <c r="U398" i="1"/>
  <c r="V390" i="1"/>
  <c r="U390" i="1"/>
  <c r="V384" i="1"/>
  <c r="U384" i="1"/>
  <c r="V376" i="1"/>
  <c r="U376" i="1"/>
  <c r="V362" i="1"/>
  <c r="U362" i="1"/>
  <c r="V354" i="1"/>
  <c r="U354" i="1"/>
  <c r="U346" i="1"/>
  <c r="V346" i="1"/>
  <c r="V338" i="1"/>
  <c r="U338" i="1"/>
  <c r="V330" i="1"/>
  <c r="U330" i="1"/>
  <c r="V322" i="1"/>
  <c r="U322" i="1"/>
  <c r="U314" i="1"/>
  <c r="V314" i="1"/>
  <c r="V306" i="1"/>
  <c r="U306" i="1"/>
  <c r="U290" i="1"/>
  <c r="V290" i="1"/>
  <c r="V282" i="1"/>
  <c r="U282" i="1"/>
  <c r="V274" i="1"/>
  <c r="U274" i="1"/>
  <c r="V266" i="1"/>
  <c r="U266" i="1"/>
  <c r="U258" i="1"/>
  <c r="V258" i="1"/>
  <c r="V244" i="1"/>
  <c r="U244" i="1"/>
  <c r="U132" i="1"/>
  <c r="V116" i="1"/>
  <c r="U116" i="1"/>
  <c r="V100" i="1"/>
  <c r="V137" i="1"/>
  <c r="U137" i="1"/>
  <c r="U313" i="1"/>
  <c r="V313" i="1"/>
  <c r="V305" i="1"/>
  <c r="U305" i="1"/>
  <c r="U297" i="1"/>
  <c r="V297" i="1"/>
  <c r="U273" i="1"/>
  <c r="V273" i="1"/>
  <c r="U265" i="1"/>
  <c r="V265" i="1"/>
  <c r="U115" i="1"/>
  <c r="V115" i="1"/>
  <c r="K60" i="1"/>
  <c r="K61" i="1"/>
  <c r="K24" i="1"/>
  <c r="K26" i="1"/>
  <c r="J23" i="1"/>
  <c r="K27" i="1"/>
  <c r="K63" i="1"/>
  <c r="K28" i="1"/>
  <c r="U109" i="1" l="1"/>
  <c r="U144" i="1"/>
  <c r="U117" i="1"/>
  <c r="U311" i="1"/>
  <c r="U170" i="1"/>
  <c r="V188" i="1"/>
  <c r="U76" i="1"/>
  <c r="V119" i="1"/>
  <c r="U79" i="1"/>
  <c r="V232" i="1"/>
  <c r="V261" i="1"/>
  <c r="V229" i="1"/>
  <c r="U296" i="1"/>
  <c r="V328" i="1"/>
  <c r="U389" i="1"/>
  <c r="V131" i="1"/>
  <c r="V195" i="1"/>
  <c r="V197" i="1"/>
  <c r="L23" i="1"/>
  <c r="M23" i="1" s="1"/>
  <c r="U138" i="1"/>
  <c r="V233" i="1"/>
  <c r="V174" i="1"/>
  <c r="U283" i="1"/>
  <c r="V72" i="1"/>
  <c r="U127" i="1"/>
  <c r="V303" i="1"/>
  <c r="U279" i="1"/>
  <c r="U149" i="1"/>
  <c r="V277" i="1"/>
  <c r="U211" i="1"/>
  <c r="V379" i="1"/>
  <c r="U167" i="1"/>
  <c r="V162" i="1"/>
  <c r="U315" i="1"/>
  <c r="U375" i="1"/>
  <c r="U203" i="1"/>
  <c r="V298" i="1"/>
  <c r="V291" i="1"/>
  <c r="V191" i="1"/>
  <c r="V213" i="1"/>
  <c r="V93" i="1"/>
  <c r="V153" i="1"/>
  <c r="V387" i="1"/>
  <c r="V96" i="1"/>
  <c r="U219" i="1"/>
  <c r="U141" i="1"/>
  <c r="V341" i="1"/>
  <c r="V281" i="1"/>
  <c r="U309" i="1"/>
  <c r="V321" i="1"/>
  <c r="U125" i="1"/>
  <c r="U198" i="1"/>
  <c r="U323" i="1"/>
  <c r="V405" i="1"/>
  <c r="U223" i="1"/>
  <c r="U259" i="1"/>
  <c r="V299" i="1"/>
  <c r="U373" i="1"/>
  <c r="V351" i="1"/>
  <c r="V367" i="1"/>
  <c r="V95" i="1"/>
  <c r="V135" i="1"/>
  <c r="V355" i="1"/>
  <c r="V267" i="1"/>
  <c r="U407" i="1"/>
  <c r="U215" i="1"/>
  <c r="U75" i="1"/>
  <c r="U101" i="1"/>
  <c r="V182" i="1"/>
  <c r="V179" i="1"/>
  <c r="V92" i="1"/>
  <c r="V146" i="1"/>
  <c r="V239" i="1"/>
  <c r="U189" i="1"/>
  <c r="U181" i="1"/>
  <c r="V399" i="1"/>
  <c r="V58" i="1"/>
  <c r="V171" i="1"/>
  <c r="U171" i="1"/>
  <c r="U251" i="1"/>
  <c r="V251" i="1"/>
  <c r="V235" i="1"/>
  <c r="U235" i="1"/>
  <c r="J25" i="1" l="1"/>
  <c r="O25" i="1" s="1"/>
  <c r="K272" i="1"/>
  <c r="K136" i="1"/>
  <c r="K321" i="1"/>
  <c r="J24" i="1"/>
  <c r="K364" i="1"/>
  <c r="K349" i="1"/>
  <c r="K186" i="1"/>
  <c r="K155" i="1"/>
  <c r="K257" i="1"/>
  <c r="K194" i="1"/>
  <c r="K201" i="1"/>
  <c r="K269" i="1"/>
  <c r="K305" i="1"/>
  <c r="K276" i="1"/>
  <c r="K241" i="1"/>
  <c r="K277" i="1"/>
  <c r="K107" i="1"/>
  <c r="K213" i="1"/>
  <c r="K374" i="1"/>
  <c r="K25" i="1"/>
  <c r="K169" i="1"/>
  <c r="K158" i="1"/>
  <c r="K393" i="1"/>
  <c r="K358" i="1"/>
  <c r="K31" i="1"/>
  <c r="K116" i="1"/>
  <c r="K234" i="1"/>
  <c r="K279" i="1"/>
  <c r="K326" i="1"/>
  <c r="K307" i="1"/>
  <c r="K370" i="1"/>
  <c r="K350" i="1"/>
  <c r="K337" i="1"/>
  <c r="K238" i="1"/>
  <c r="K342" i="1"/>
  <c r="K37" i="1"/>
  <c r="K77" i="1"/>
  <c r="K163" i="1"/>
  <c r="K100" i="1"/>
  <c r="K361" i="1"/>
  <c r="K170" i="1"/>
  <c r="K216" i="1"/>
  <c r="K85" i="1"/>
  <c r="K83" i="1"/>
  <c r="K105" i="1"/>
  <c r="K137" i="1"/>
  <c r="K66" i="1"/>
  <c r="K152" i="1"/>
  <c r="K103" i="1"/>
  <c r="K389" i="1"/>
  <c r="K206" i="1"/>
  <c r="K309" i="1"/>
  <c r="K99" i="1"/>
  <c r="K395" i="1"/>
  <c r="K264" i="1"/>
  <c r="K332" i="1"/>
  <c r="K219" i="1"/>
  <c r="K112" i="1"/>
  <c r="K282" i="1"/>
  <c r="K391" i="1"/>
  <c r="K310" i="1"/>
  <c r="K252" i="1"/>
  <c r="K224" i="1"/>
  <c r="K392" i="1"/>
  <c r="K249" i="1"/>
  <c r="K195" i="1"/>
  <c r="K291" i="1"/>
  <c r="K191" i="1"/>
  <c r="K289" i="1"/>
  <c r="K35" i="1"/>
  <c r="K160" i="1"/>
  <c r="K259" i="1"/>
  <c r="K345" i="1"/>
  <c r="K390" i="1"/>
  <c r="K142" i="1"/>
  <c r="K306" i="1"/>
  <c r="K360" i="1"/>
  <c r="K109" i="1"/>
  <c r="K371" i="1"/>
  <c r="K38" i="1"/>
  <c r="K228" i="1"/>
  <c r="K90" i="1"/>
  <c r="K117" i="1"/>
  <c r="K131" i="1"/>
  <c r="K403" i="1"/>
  <c r="K334" i="1"/>
  <c r="K153" i="1"/>
  <c r="K267" i="1"/>
  <c r="K212" i="1"/>
  <c r="K304" i="1"/>
  <c r="K363" i="1"/>
  <c r="K378" i="1"/>
  <c r="K122" i="1"/>
  <c r="K205" i="1"/>
  <c r="K283" i="1"/>
  <c r="K347" i="1"/>
  <c r="K149" i="1"/>
  <c r="K245" i="1"/>
  <c r="K49" i="1"/>
  <c r="K42" i="1"/>
  <c r="K352" i="1"/>
  <c r="K246" i="1"/>
  <c r="K225" i="1"/>
  <c r="K129" i="1"/>
  <c r="K106" i="1"/>
  <c r="K145" i="1"/>
  <c r="K110" i="1"/>
  <c r="K45" i="1"/>
  <c r="K199" i="1"/>
  <c r="K235" i="1"/>
  <c r="K209" i="1"/>
  <c r="K138" i="1"/>
  <c r="K111" i="1"/>
  <c r="K250" i="1"/>
  <c r="K86" i="1"/>
  <c r="K108" i="1"/>
  <c r="K94" i="1"/>
  <c r="K207" i="1"/>
  <c r="K81" i="1"/>
  <c r="K375" i="1"/>
  <c r="K380" i="1"/>
  <c r="K327" i="1"/>
  <c r="K284" i="1"/>
  <c r="K50" i="1"/>
  <c r="K159" i="1"/>
  <c r="K333" i="1"/>
  <c r="K39" i="1"/>
  <c r="K405" i="1"/>
  <c r="K263" i="1"/>
  <c r="K273" i="1"/>
  <c r="K285" i="1"/>
  <c r="K62" i="1"/>
  <c r="K204" i="1"/>
  <c r="K96" i="1"/>
  <c r="K253" i="1"/>
  <c r="K44" i="1"/>
  <c r="K98" i="1"/>
  <c r="K119" i="1"/>
  <c r="K376" i="1"/>
  <c r="K51" i="1"/>
  <c r="K84" i="1"/>
  <c r="K190" i="1"/>
  <c r="K150" i="1"/>
  <c r="K340" i="1"/>
  <c r="K232" i="1"/>
  <c r="K115" i="1"/>
  <c r="K351" i="1"/>
  <c r="K33" i="1"/>
  <c r="K211" i="1"/>
  <c r="K125" i="1"/>
  <c r="K222" i="1"/>
  <c r="K73" i="1"/>
  <c r="K295" i="1"/>
  <c r="K311" i="1"/>
  <c r="K318" i="1"/>
  <c r="K294" i="1"/>
  <c r="K381" i="1"/>
  <c r="K102" i="1"/>
  <c r="K121" i="1"/>
  <c r="K278" i="1"/>
  <c r="K293" i="1"/>
  <c r="K355" i="1"/>
  <c r="K233" i="1"/>
  <c r="K36" i="1"/>
  <c r="K127" i="1"/>
  <c r="K118" i="1"/>
  <c r="K357" i="1"/>
  <c r="K196" i="1"/>
  <c r="K197" i="1"/>
  <c r="K180" i="1"/>
  <c r="K230" i="1"/>
  <c r="K178" i="1"/>
  <c r="K176" i="1"/>
  <c r="K120" i="1"/>
  <c r="K181" i="1"/>
  <c r="K356" i="1"/>
  <c r="K274" i="1"/>
  <c r="K369" i="1"/>
  <c r="K242" i="1"/>
  <c r="K261" i="1"/>
  <c r="K366" i="1"/>
  <c r="K320" i="1"/>
  <c r="K244" i="1"/>
  <c r="K362" i="1"/>
  <c r="K177" i="1"/>
  <c r="K30" i="1"/>
  <c r="K331" i="1"/>
  <c r="K187" i="1"/>
  <c r="K141" i="1"/>
  <c r="K210" i="1"/>
  <c r="K341" i="1"/>
  <c r="K322" i="1"/>
  <c r="K300" i="1"/>
  <c r="K344" i="1"/>
  <c r="K166" i="1"/>
  <c r="K324" i="1"/>
  <c r="K200" i="1"/>
  <c r="K353" i="1"/>
  <c r="K46" i="1"/>
  <c r="K55" i="1"/>
  <c r="K47" i="1"/>
  <c r="K236" i="1"/>
  <c r="K223" i="1"/>
  <c r="K400" i="1"/>
  <c r="K388" i="1"/>
  <c r="K372" i="1"/>
  <c r="K173" i="1"/>
  <c r="K339" i="1"/>
  <c r="K144" i="1"/>
  <c r="K227" i="1"/>
  <c r="K290" i="1"/>
  <c r="K316" i="1"/>
  <c r="K189" i="1"/>
  <c r="K87" i="1"/>
  <c r="K193" i="1"/>
  <c r="K139" i="1"/>
  <c r="K317" i="1"/>
  <c r="K32" i="1"/>
  <c r="K75" i="1"/>
  <c r="K214" i="1"/>
  <c r="K248" i="1"/>
  <c r="K64" i="1"/>
  <c r="K280" i="1"/>
  <c r="K286" i="1"/>
  <c r="K185" i="1"/>
  <c r="K266" i="1"/>
  <c r="K330" i="1"/>
  <c r="K143" i="1"/>
  <c r="K88" i="1"/>
  <c r="K220" i="1"/>
  <c r="K76" i="1"/>
  <c r="K346" i="1"/>
  <c r="K387" i="1"/>
  <c r="K329" i="1"/>
  <c r="K240" i="1"/>
  <c r="K297" i="1"/>
  <c r="K396" i="1"/>
  <c r="K52" i="1"/>
  <c r="K243" i="1"/>
  <c r="K377" i="1"/>
  <c r="K255" i="1"/>
  <c r="K133" i="1"/>
  <c r="K188" i="1"/>
  <c r="K409" i="1"/>
  <c r="K367" i="1"/>
  <c r="K151" i="1"/>
  <c r="K184" i="1"/>
  <c r="K239" i="1"/>
  <c r="K123" i="1"/>
  <c r="K48" i="1"/>
  <c r="K93" i="1"/>
  <c r="K34" i="1"/>
  <c r="K335" i="1"/>
  <c r="K313" i="1"/>
  <c r="K247" i="1"/>
  <c r="K72" i="1"/>
  <c r="K336" i="1"/>
  <c r="K101" i="1"/>
  <c r="K303" i="1"/>
  <c r="K175" i="1"/>
  <c r="K298" i="1"/>
  <c r="K161" i="1"/>
  <c r="K167" i="1"/>
  <c r="K134" i="1"/>
  <c r="K29" i="1"/>
  <c r="K383" i="1"/>
  <c r="K325" i="1"/>
  <c r="K165" i="1"/>
  <c r="K258" i="1"/>
  <c r="K183" i="1"/>
  <c r="K59" i="1"/>
  <c r="K114" i="1"/>
  <c r="K148" i="1"/>
  <c r="K399" i="1"/>
  <c r="K365" i="1"/>
  <c r="K56" i="1"/>
  <c r="K404" i="1"/>
  <c r="K401" i="1"/>
  <c r="K128" i="1"/>
  <c r="K168" i="1"/>
  <c r="K74" i="1"/>
  <c r="K91" i="1"/>
  <c r="K218" i="1"/>
  <c r="K308" i="1"/>
  <c r="K104" i="1"/>
  <c r="K146" i="1"/>
  <c r="K319" i="1"/>
  <c r="K113" i="1"/>
  <c r="K379" i="1"/>
  <c r="K394" i="1"/>
  <c r="K354" i="1"/>
  <c r="K271" i="1"/>
  <c r="K348" i="1"/>
  <c r="K202" i="1"/>
  <c r="K368" i="1"/>
  <c r="K67" i="1"/>
  <c r="K373" i="1"/>
  <c r="K221" i="1"/>
  <c r="K97" i="1"/>
  <c r="K71" i="1"/>
  <c r="K157" i="1"/>
  <c r="K343" i="1"/>
  <c r="K164" i="1"/>
  <c r="K237" i="1"/>
  <c r="K156" i="1"/>
  <c r="K172" i="1"/>
  <c r="K407" i="1"/>
  <c r="K323" i="1"/>
  <c r="K171" i="1"/>
  <c r="K385" i="1"/>
  <c r="K215" i="1"/>
  <c r="K302" i="1"/>
  <c r="K79" i="1"/>
  <c r="K80" i="1"/>
  <c r="K406" i="1"/>
  <c r="K82" i="1"/>
  <c r="K402" i="1"/>
  <c r="K69" i="1"/>
  <c r="K58" i="1"/>
  <c r="K92" i="1"/>
  <c r="K179" i="1"/>
  <c r="K270" i="1"/>
  <c r="K314" i="1"/>
  <c r="K265" i="1"/>
  <c r="K315" i="1"/>
  <c r="K54" i="1"/>
  <c r="K132" i="1"/>
  <c r="K251" i="1"/>
  <c r="K126" i="1"/>
  <c r="K154" i="1"/>
  <c r="K68" i="1"/>
  <c r="K70" i="1"/>
  <c r="K254" i="1"/>
  <c r="K40" i="1"/>
  <c r="K256" i="1"/>
  <c r="K288" i="1"/>
  <c r="K301" i="1"/>
  <c r="K147" i="1"/>
  <c r="K299" i="1"/>
  <c r="K130" i="1"/>
  <c r="K359" i="1"/>
  <c r="K41" i="1"/>
  <c r="K182" i="1"/>
  <c r="K268" i="1"/>
  <c r="K229" i="1"/>
  <c r="K292" i="1"/>
  <c r="K386" i="1"/>
  <c r="K53" i="1"/>
  <c r="K398" i="1"/>
  <c r="K281" i="1"/>
  <c r="K287" i="1"/>
  <c r="K217" i="1"/>
  <c r="K124" i="1"/>
  <c r="K198" i="1"/>
  <c r="K231" i="1"/>
  <c r="K338" i="1"/>
  <c r="K89" i="1"/>
  <c r="K208" i="1"/>
  <c r="K162" i="1"/>
  <c r="K95" i="1"/>
  <c r="K384" i="1"/>
  <c r="K262" i="1"/>
  <c r="K296" i="1"/>
  <c r="K140" i="1"/>
  <c r="K135" i="1"/>
  <c r="K192" i="1"/>
  <c r="K43" i="1"/>
  <c r="K78" i="1"/>
  <c r="K174" i="1"/>
  <c r="K397" i="1"/>
  <c r="K260" i="1"/>
  <c r="K226" i="1"/>
  <c r="K312" i="1"/>
  <c r="K65" i="1"/>
  <c r="K382" i="1"/>
  <c r="K203" i="1"/>
  <c r="K275" i="1"/>
  <c r="K328" i="1"/>
  <c r="J26" i="1"/>
  <c r="L409" i="1" l="1"/>
  <c r="P409" i="1" s="1"/>
  <c r="L24" i="1"/>
  <c r="P24" i="1" s="1"/>
  <c r="S24" i="1" s="1"/>
  <c r="T24" i="1" s="1"/>
  <c r="V24" i="1" s="1"/>
  <c r="O24" i="1"/>
  <c r="L25" i="1"/>
  <c r="P25" i="1" s="1"/>
  <c r="S25" i="1" s="1"/>
  <c r="R26" i="1" s="1"/>
  <c r="O26" i="1"/>
  <c r="L26" i="1"/>
  <c r="P26" i="1" s="1"/>
  <c r="S26" i="1" s="1"/>
  <c r="R27" i="1" s="1"/>
  <c r="J27" i="1"/>
  <c r="J28" i="1"/>
  <c r="M24" i="1" l="1"/>
  <c r="N24" i="1" s="1"/>
  <c r="U24" i="1"/>
  <c r="R25" i="1"/>
  <c r="T25" i="1" s="1"/>
  <c r="V25" i="1" s="1"/>
  <c r="M26" i="1"/>
  <c r="N26" i="1" s="1"/>
  <c r="M25" i="1"/>
  <c r="N25" i="1" s="1"/>
  <c r="O28" i="1"/>
  <c r="L28" i="1"/>
  <c r="M28" i="1" s="1"/>
  <c r="N28" i="1" s="1"/>
  <c r="L27" i="1"/>
  <c r="O27" i="1"/>
  <c r="T26" i="1"/>
  <c r="V26" i="1" s="1"/>
  <c r="U25" i="1"/>
  <c r="U26" i="1"/>
  <c r="J29" i="1"/>
  <c r="J30" i="1"/>
  <c r="O29" i="1" l="1"/>
  <c r="L29" i="1"/>
  <c r="P29" i="1" s="1"/>
  <c r="S29" i="1" s="1"/>
  <c r="R30" i="1" s="1"/>
  <c r="P28" i="1"/>
  <c r="S28" i="1" s="1"/>
  <c r="R29" i="1" s="1"/>
  <c r="M27" i="1"/>
  <c r="N27" i="1" s="1"/>
  <c r="P27" i="1"/>
  <c r="S27" i="1" s="1"/>
  <c r="L30" i="1"/>
  <c r="O30" i="1"/>
  <c r="J31" i="1"/>
  <c r="M29" i="1" l="1"/>
  <c r="R28" i="1"/>
  <c r="T28" i="1" s="1"/>
  <c r="T27" i="1"/>
  <c r="P30" i="1"/>
  <c r="S30" i="1" s="1"/>
  <c r="R31" i="1" s="1"/>
  <c r="T31" i="1" s="1"/>
  <c r="O31" i="1"/>
  <c r="L31" i="1"/>
  <c r="M30" i="1"/>
  <c r="N30" i="1" s="1"/>
  <c r="T29" i="1"/>
  <c r="U28" i="1"/>
  <c r="V28" i="1"/>
  <c r="J32" i="1"/>
  <c r="V27" i="1" l="1"/>
  <c r="U27" i="1"/>
  <c r="O32" i="1"/>
  <c r="L32" i="1"/>
  <c r="P32" i="1" s="1"/>
  <c r="U31" i="1"/>
  <c r="V31" i="1"/>
  <c r="T30" i="1"/>
  <c r="M31" i="1"/>
  <c r="P31" i="1"/>
  <c r="U29" i="1"/>
  <c r="V29" i="1"/>
  <c r="J33" i="1"/>
  <c r="O33" i="1" l="1"/>
  <c r="L33" i="1"/>
  <c r="M32" i="1"/>
  <c r="V30" i="1"/>
  <c r="U30" i="1"/>
  <c r="J34" i="1"/>
  <c r="O34" i="1" l="1"/>
  <c r="L34" i="1"/>
  <c r="M34" i="1" s="1"/>
  <c r="P33" i="1"/>
  <c r="M33" i="1"/>
  <c r="J35" i="1"/>
  <c r="J36" i="1"/>
  <c r="J37" i="1"/>
  <c r="J38" i="1"/>
  <c r="L37" i="1" l="1"/>
  <c r="P37" i="1" s="1"/>
  <c r="O37" i="1"/>
  <c r="O36" i="1"/>
  <c r="L36" i="1"/>
  <c r="P36" i="1" s="1"/>
  <c r="O35" i="1"/>
  <c r="L35" i="1"/>
  <c r="P34" i="1"/>
  <c r="M36" i="1"/>
  <c r="O38" i="1"/>
  <c r="L38" i="1"/>
  <c r="J39" i="1"/>
  <c r="J40" i="1" s="1"/>
  <c r="M37" i="1" l="1"/>
  <c r="M35" i="1"/>
  <c r="P35" i="1"/>
  <c r="O39" i="1"/>
  <c r="L39" i="1"/>
  <c r="M39" i="1" s="1"/>
  <c r="O40" i="1"/>
  <c r="L40" i="1"/>
  <c r="P38" i="1"/>
  <c r="M38" i="1"/>
  <c r="J41" i="1"/>
  <c r="P39" i="1" l="1"/>
  <c r="L41" i="1"/>
  <c r="O41" i="1"/>
  <c r="P40" i="1"/>
  <c r="M40" i="1"/>
  <c r="J42" i="1"/>
  <c r="O42" i="1" l="1"/>
  <c r="L42" i="1"/>
  <c r="M41" i="1"/>
  <c r="P41" i="1"/>
  <c r="J43" i="1"/>
  <c r="L43" i="1" l="1"/>
  <c r="P43" i="1" s="1"/>
  <c r="O43" i="1"/>
  <c r="M42" i="1"/>
  <c r="P42" i="1"/>
  <c r="J44" i="1"/>
  <c r="J45" i="1"/>
  <c r="L44" i="1" l="1"/>
  <c r="M44" i="1" s="1"/>
  <c r="O44" i="1"/>
  <c r="M43" i="1"/>
  <c r="O45" i="1"/>
  <c r="L45" i="1"/>
  <c r="J46" i="1"/>
  <c r="P44" i="1" l="1"/>
  <c r="O46" i="1"/>
  <c r="L46" i="1"/>
  <c r="P45" i="1"/>
  <c r="M45" i="1"/>
  <c r="J47" i="1"/>
  <c r="J48" i="1"/>
  <c r="L47" i="1" l="1"/>
  <c r="M47" i="1" s="1"/>
  <c r="O47" i="1"/>
  <c r="L48" i="1"/>
  <c r="O48" i="1"/>
  <c r="M46" i="1"/>
  <c r="P46" i="1"/>
  <c r="J49" i="1"/>
  <c r="P47" i="1" l="1"/>
  <c r="L49" i="1"/>
  <c r="O49" i="1"/>
  <c r="M48" i="1"/>
  <c r="P48" i="1"/>
  <c r="J50" i="1"/>
  <c r="O50" i="1" l="1"/>
  <c r="L50" i="1"/>
  <c r="M49" i="1"/>
  <c r="P49" i="1"/>
  <c r="J51" i="1"/>
  <c r="L51" i="1" l="1"/>
  <c r="P51" i="1" s="1"/>
  <c r="O51" i="1"/>
  <c r="M50" i="1"/>
  <c r="P50" i="1"/>
  <c r="J52" i="1"/>
  <c r="J53" i="1"/>
  <c r="O52" i="1" l="1"/>
  <c r="L52" i="1"/>
  <c r="P52" i="1" s="1"/>
  <c r="M51" i="1"/>
  <c r="O53" i="1"/>
  <c r="L53" i="1"/>
  <c r="J54" i="1"/>
  <c r="M52" i="1" l="1"/>
  <c r="L54" i="1"/>
  <c r="O54" i="1"/>
  <c r="M53" i="1"/>
  <c r="P53" i="1"/>
  <c r="J55" i="1"/>
  <c r="J56" i="1"/>
  <c r="L55" i="1" l="1"/>
  <c r="M55" i="1" s="1"/>
  <c r="O55" i="1"/>
  <c r="L56" i="1"/>
  <c r="O56" i="1"/>
  <c r="P54" i="1"/>
  <c r="M54" i="1"/>
  <c r="J57" i="1"/>
  <c r="P55" i="1" l="1"/>
  <c r="O57" i="1"/>
  <c r="L57" i="1"/>
  <c r="P56" i="1"/>
  <c r="M56" i="1"/>
  <c r="J58" i="1"/>
  <c r="J59" i="1" l="1"/>
  <c r="O59" i="1" s="1"/>
  <c r="L58" i="1"/>
  <c r="O58" i="1"/>
  <c r="M57" i="1"/>
  <c r="P57" i="1"/>
  <c r="J60" i="1"/>
  <c r="L59" i="1" l="1"/>
  <c r="M59" i="1" s="1"/>
  <c r="N59" i="1" s="1"/>
  <c r="O60" i="1"/>
  <c r="L60" i="1"/>
  <c r="P58" i="1"/>
  <c r="M58" i="1"/>
  <c r="J61" i="1"/>
  <c r="P59" i="1" l="1"/>
  <c r="S59" i="1" s="1"/>
  <c r="T59" i="1" s="1"/>
  <c r="V59" i="1" s="1"/>
  <c r="L61" i="1"/>
  <c r="O61" i="1"/>
  <c r="P60" i="1"/>
  <c r="S60" i="1" s="1"/>
  <c r="M60" i="1"/>
  <c r="N60" i="1" s="1"/>
  <c r="J62" i="1"/>
  <c r="R60" i="1" l="1"/>
  <c r="T60" i="1" s="1"/>
  <c r="U59" i="1"/>
  <c r="R61" i="1"/>
  <c r="O62" i="1"/>
  <c r="L62" i="1"/>
  <c r="M61" i="1"/>
  <c r="N61" i="1" s="1"/>
  <c r="P61" i="1"/>
  <c r="S61" i="1" s="1"/>
  <c r="R62" i="1" s="1"/>
  <c r="J63" i="1"/>
  <c r="J64" i="1"/>
  <c r="L63" i="1" l="1"/>
  <c r="M63" i="1" s="1"/>
  <c r="N63" i="1" s="1"/>
  <c r="O63" i="1"/>
  <c r="V60" i="1"/>
  <c r="U60" i="1"/>
  <c r="T61" i="1"/>
  <c r="O64" i="1"/>
  <c r="L64" i="1"/>
  <c r="M62" i="1"/>
  <c r="N62" i="1" s="1"/>
  <c r="P62" i="1"/>
  <c r="S62" i="1" s="1"/>
  <c r="R63" i="1" s="1"/>
  <c r="J65" i="1"/>
  <c r="P63" i="1" l="1"/>
  <c r="S63" i="1" s="1"/>
  <c r="R64" i="1" s="1"/>
  <c r="T62" i="1"/>
  <c r="V61" i="1"/>
  <c r="U61" i="1"/>
  <c r="O65" i="1"/>
  <c r="L65" i="1"/>
  <c r="M64" i="1"/>
  <c r="N64" i="1" s="1"/>
  <c r="P64" i="1"/>
  <c r="S64" i="1" s="1"/>
  <c r="R65" i="1" s="1"/>
  <c r="J66" i="1"/>
  <c r="J67" i="1"/>
  <c r="T63" i="1" l="1"/>
  <c r="U63" i="1" s="1"/>
  <c r="V63" i="1"/>
  <c r="T64" i="1"/>
  <c r="U62" i="1"/>
  <c r="V62" i="1"/>
  <c r="O67" i="1"/>
  <c r="L67" i="1"/>
  <c r="O66" i="1"/>
  <c r="L66" i="1"/>
  <c r="P65" i="1"/>
  <c r="S65" i="1" s="1"/>
  <c r="R66" i="1" s="1"/>
  <c r="M65" i="1"/>
  <c r="N65" i="1" s="1"/>
  <c r="J68" i="1"/>
  <c r="T65" i="1" l="1"/>
  <c r="V64" i="1"/>
  <c r="U64" i="1"/>
  <c r="O68" i="1"/>
  <c r="L68" i="1"/>
  <c r="P67" i="1"/>
  <c r="S67" i="1" s="1"/>
  <c r="R68" i="1" s="1"/>
  <c r="M67" i="1"/>
  <c r="N67" i="1" s="1"/>
  <c r="M66" i="1"/>
  <c r="P66" i="1"/>
  <c r="S66" i="1" s="1"/>
  <c r="R67" i="1" s="1"/>
  <c r="T67" i="1" s="1"/>
  <c r="J69" i="1"/>
  <c r="U67" i="1" l="1"/>
  <c r="V67" i="1"/>
  <c r="V65" i="1"/>
  <c r="U65" i="1"/>
  <c r="T66" i="1"/>
  <c r="O69" i="1"/>
  <c r="L69" i="1"/>
  <c r="M68" i="1"/>
  <c r="P68" i="1"/>
  <c r="S68" i="1" s="1"/>
  <c r="R69" i="1" s="1"/>
  <c r="T69" i="1" s="1"/>
  <c r="J70" i="1"/>
  <c r="V69" i="1" l="1"/>
  <c r="U69" i="1"/>
  <c r="T68" i="1"/>
  <c r="U66" i="1"/>
  <c r="V66" i="1"/>
  <c r="O70" i="1"/>
  <c r="L70" i="1"/>
  <c r="P69" i="1"/>
  <c r="M69" i="1"/>
  <c r="J71" i="1"/>
  <c r="J72" i="1"/>
  <c r="V68" i="1" l="1"/>
  <c r="U68" i="1"/>
  <c r="U409" i="1" s="1"/>
  <c r="T410" i="1" s="1"/>
  <c r="AA3" i="1" s="1"/>
  <c r="V409" i="1"/>
  <c r="L71" i="1"/>
  <c r="M71" i="1" s="1"/>
  <c r="O71" i="1"/>
  <c r="O72" i="1"/>
  <c r="L72" i="1"/>
  <c r="M70" i="1"/>
  <c r="P70" i="1"/>
  <c r="J73" i="1"/>
  <c r="P71" i="1" l="1"/>
  <c r="O73" i="1"/>
  <c r="L73" i="1"/>
  <c r="M72" i="1"/>
  <c r="P72" i="1"/>
  <c r="J74" i="1"/>
  <c r="J75" i="1"/>
  <c r="L75" i="1" l="1"/>
  <c r="O75" i="1"/>
  <c r="O74" i="1"/>
  <c r="L74" i="1"/>
  <c r="P73" i="1"/>
  <c r="M73" i="1"/>
  <c r="J76" i="1"/>
  <c r="O76" i="1" l="1"/>
  <c r="L76" i="1"/>
  <c r="P75" i="1"/>
  <c r="M75" i="1"/>
  <c r="P74" i="1"/>
  <c r="M74" i="1"/>
  <c r="J77" i="1"/>
  <c r="O77" i="1" l="1"/>
  <c r="L77" i="1"/>
  <c r="P76" i="1"/>
  <c r="M76" i="1"/>
  <c r="J78" i="1"/>
  <c r="J79" i="1"/>
  <c r="L79" i="1" l="1"/>
  <c r="O79" i="1"/>
  <c r="O78" i="1"/>
  <c r="L78" i="1"/>
  <c r="P77" i="1"/>
  <c r="M77" i="1"/>
  <c r="J80" i="1"/>
  <c r="O80" i="1" l="1"/>
  <c r="L80" i="1"/>
  <c r="M79" i="1"/>
  <c r="P79" i="1"/>
  <c r="P78" i="1"/>
  <c r="M78" i="1"/>
  <c r="J81" i="1"/>
  <c r="L81" i="1" l="1"/>
  <c r="O81" i="1"/>
  <c r="M80" i="1"/>
  <c r="P80" i="1"/>
  <c r="J82" i="1"/>
  <c r="O82" i="1" l="1"/>
  <c r="L82" i="1"/>
  <c r="M81" i="1"/>
  <c r="P81" i="1"/>
  <c r="J83" i="1"/>
  <c r="J84" i="1"/>
  <c r="L83" i="1" l="1"/>
  <c r="P83" i="1" s="1"/>
  <c r="O83" i="1"/>
  <c r="O84" i="1"/>
  <c r="L84" i="1"/>
  <c r="P82" i="1"/>
  <c r="M82" i="1"/>
  <c r="J85" i="1"/>
  <c r="M83" i="1" l="1"/>
  <c r="L85" i="1"/>
  <c r="O85" i="1"/>
  <c r="P84" i="1"/>
  <c r="M84" i="1"/>
  <c r="J86" i="1"/>
  <c r="O86" i="1" l="1"/>
  <c r="L86" i="1"/>
  <c r="P85" i="1"/>
  <c r="M85" i="1"/>
  <c r="J87" i="1"/>
  <c r="J88" i="1"/>
  <c r="L87" i="1" l="1"/>
  <c r="M87" i="1" s="1"/>
  <c r="O87" i="1"/>
  <c r="O88" i="1"/>
  <c r="L88" i="1"/>
  <c r="P87" i="1"/>
  <c r="P86" i="1"/>
  <c r="M86" i="1"/>
  <c r="J89" i="1"/>
  <c r="O89" i="1" l="1"/>
  <c r="L89" i="1"/>
  <c r="M88" i="1"/>
  <c r="P88" i="1"/>
  <c r="J90" i="1"/>
  <c r="O90" i="1" l="1"/>
  <c r="L90" i="1"/>
  <c r="P89" i="1"/>
  <c r="M89" i="1"/>
  <c r="J91" i="1"/>
  <c r="L91" i="1" l="1"/>
  <c r="M91" i="1" s="1"/>
  <c r="O91" i="1"/>
  <c r="M90" i="1"/>
  <c r="P90" i="1"/>
  <c r="J92" i="1"/>
  <c r="J93" i="1"/>
  <c r="L92" i="1" l="1"/>
  <c r="P92" i="1" s="1"/>
  <c r="O92" i="1"/>
  <c r="P91" i="1"/>
  <c r="O93" i="1"/>
  <c r="L93" i="1"/>
  <c r="M92" i="1"/>
  <c r="J94" i="1"/>
  <c r="J95" i="1"/>
  <c r="O95" i="1" l="1"/>
  <c r="L95" i="1"/>
  <c r="O94" i="1"/>
  <c r="L94" i="1"/>
  <c r="P93" i="1"/>
  <c r="M93" i="1"/>
  <c r="J96" i="1"/>
  <c r="O96" i="1" l="1"/>
  <c r="L96" i="1"/>
  <c r="P95" i="1"/>
  <c r="M95" i="1"/>
  <c r="P94" i="1"/>
  <c r="M94" i="1"/>
  <c r="J97" i="1"/>
  <c r="L97" i="1" l="1"/>
  <c r="O97" i="1"/>
  <c r="M96" i="1"/>
  <c r="P96" i="1"/>
  <c r="J98" i="1"/>
  <c r="O98" i="1" l="1"/>
  <c r="L98" i="1"/>
  <c r="P97" i="1"/>
  <c r="M97" i="1"/>
  <c r="J99" i="1"/>
  <c r="O99" i="1" l="1"/>
  <c r="L99" i="1"/>
  <c r="P99" i="1" s="1"/>
  <c r="M98" i="1"/>
  <c r="P98" i="1"/>
  <c r="J100" i="1"/>
  <c r="J101" i="1"/>
  <c r="L100" i="1" l="1"/>
  <c r="M100" i="1" s="1"/>
  <c r="O100" i="1"/>
  <c r="M99" i="1"/>
  <c r="L101" i="1"/>
  <c r="O101" i="1"/>
  <c r="J102" i="1"/>
  <c r="P100" i="1" l="1"/>
  <c r="O102" i="1"/>
  <c r="L102" i="1"/>
  <c r="P101" i="1"/>
  <c r="M101" i="1"/>
  <c r="J103" i="1"/>
  <c r="J104" i="1" s="1"/>
  <c r="O103" i="1" l="1"/>
  <c r="L103" i="1"/>
  <c r="M103" i="1" s="1"/>
  <c r="O104" i="1"/>
  <c r="L104" i="1"/>
  <c r="P102" i="1"/>
  <c r="M102" i="1"/>
  <c r="J105" i="1"/>
  <c r="P103" i="1" l="1"/>
  <c r="L105" i="1"/>
  <c r="O105" i="1"/>
  <c r="P104" i="1"/>
  <c r="M104" i="1"/>
  <c r="J106" i="1"/>
  <c r="O106" i="1" l="1"/>
  <c r="L106" i="1"/>
  <c r="M105" i="1"/>
  <c r="P105" i="1"/>
  <c r="J107" i="1"/>
  <c r="J108" i="1"/>
  <c r="L107" i="1" l="1"/>
  <c r="M107" i="1" s="1"/>
  <c r="O107" i="1"/>
  <c r="L108" i="1"/>
  <c r="O108" i="1"/>
  <c r="M106" i="1"/>
  <c r="P106" i="1"/>
  <c r="J109" i="1"/>
  <c r="P107" i="1" l="1"/>
  <c r="O109" i="1"/>
  <c r="L109" i="1"/>
  <c r="M108" i="1"/>
  <c r="P108" i="1"/>
  <c r="J110" i="1"/>
  <c r="O110" i="1" l="1"/>
  <c r="L110" i="1"/>
  <c r="M109" i="1"/>
  <c r="P109" i="1"/>
  <c r="J111" i="1"/>
  <c r="L111" i="1" l="1"/>
  <c r="M111" i="1" s="1"/>
  <c r="O111" i="1"/>
  <c r="P110" i="1"/>
  <c r="M110" i="1"/>
  <c r="J112" i="1"/>
  <c r="J113" i="1"/>
  <c r="L112" i="1" l="1"/>
  <c r="M112" i="1" s="1"/>
  <c r="O112" i="1"/>
  <c r="P111" i="1"/>
  <c r="O113" i="1"/>
  <c r="L113" i="1"/>
  <c r="J114" i="1"/>
  <c r="J115" i="1"/>
  <c r="P112" i="1" l="1"/>
  <c r="L115" i="1"/>
  <c r="O115" i="1"/>
  <c r="O114" i="1"/>
  <c r="L114" i="1"/>
  <c r="M113" i="1"/>
  <c r="P113" i="1"/>
  <c r="J116" i="1"/>
  <c r="O116" i="1" l="1"/>
  <c r="L116" i="1"/>
  <c r="P115" i="1"/>
  <c r="M115" i="1"/>
  <c r="P114" i="1"/>
  <c r="M114" i="1"/>
  <c r="J117" i="1"/>
  <c r="O117" i="1" l="1"/>
  <c r="L117" i="1"/>
  <c r="P116" i="1"/>
  <c r="M116" i="1"/>
  <c r="J118" i="1"/>
  <c r="O118" i="1" l="1"/>
  <c r="L118" i="1"/>
  <c r="M117" i="1"/>
  <c r="P117" i="1"/>
  <c r="J119" i="1"/>
  <c r="J120" i="1"/>
  <c r="L119" i="1" l="1"/>
  <c r="P119" i="1" s="1"/>
  <c r="O119" i="1"/>
  <c r="O120" i="1"/>
  <c r="L120" i="1"/>
  <c r="P118" i="1"/>
  <c r="M118" i="1"/>
  <c r="J121" i="1"/>
  <c r="M119" i="1" l="1"/>
  <c r="O121" i="1"/>
  <c r="L121" i="1"/>
  <c r="M120" i="1"/>
  <c r="P120" i="1"/>
  <c r="J122" i="1"/>
  <c r="O122" i="1" l="1"/>
  <c r="L122" i="1"/>
  <c r="M121" i="1"/>
  <c r="P121" i="1"/>
  <c r="J123" i="1"/>
  <c r="J124" i="1"/>
  <c r="L123" i="1" l="1"/>
  <c r="P123" i="1" s="1"/>
  <c r="O123" i="1"/>
  <c r="L124" i="1"/>
  <c r="O124" i="1"/>
  <c r="M122" i="1"/>
  <c r="P122" i="1"/>
  <c r="J125" i="1"/>
  <c r="M123" i="1" l="1"/>
  <c r="O125" i="1"/>
  <c r="L125" i="1"/>
  <c r="M124" i="1"/>
  <c r="P124" i="1"/>
  <c r="J126" i="1"/>
  <c r="O126" i="1" l="1"/>
  <c r="L126" i="1"/>
  <c r="P125" i="1"/>
  <c r="M125" i="1"/>
  <c r="J127" i="1"/>
  <c r="J128" i="1" s="1"/>
  <c r="L127" i="1" l="1"/>
  <c r="P127" i="1" s="1"/>
  <c r="O127" i="1"/>
  <c r="L128" i="1"/>
  <c r="O128" i="1"/>
  <c r="P126" i="1"/>
  <c r="M126" i="1"/>
  <c r="J129" i="1"/>
  <c r="M127" i="1" l="1"/>
  <c r="O129" i="1"/>
  <c r="L129" i="1"/>
  <c r="P128" i="1"/>
  <c r="M128" i="1"/>
  <c r="J130" i="1"/>
  <c r="J131" i="1"/>
  <c r="L131" i="1" l="1"/>
  <c r="O131" i="1"/>
  <c r="O130" i="1"/>
  <c r="L130" i="1"/>
  <c r="P129" i="1"/>
  <c r="M129" i="1"/>
  <c r="J132" i="1"/>
  <c r="O132" i="1" l="1"/>
  <c r="L132" i="1"/>
  <c r="P131" i="1"/>
  <c r="M131" i="1"/>
  <c r="M130" i="1"/>
  <c r="P130" i="1"/>
  <c r="J133" i="1"/>
  <c r="O133" i="1" l="1"/>
  <c r="L133" i="1"/>
  <c r="M132" i="1"/>
  <c r="P132" i="1"/>
  <c r="J134" i="1"/>
  <c r="O134" i="1" l="1"/>
  <c r="L134" i="1"/>
  <c r="M133" i="1"/>
  <c r="P133" i="1"/>
  <c r="J135" i="1"/>
  <c r="J136" i="1"/>
  <c r="L135" i="1" l="1"/>
  <c r="P135" i="1" s="1"/>
  <c r="O135" i="1"/>
  <c r="O136" i="1"/>
  <c r="L136" i="1"/>
  <c r="P134" i="1"/>
  <c r="M134" i="1"/>
  <c r="J137" i="1"/>
  <c r="M135" i="1" l="1"/>
  <c r="O137" i="1"/>
  <c r="L137" i="1"/>
  <c r="P136" i="1"/>
  <c r="M136" i="1"/>
  <c r="J138" i="1"/>
  <c r="O138" i="1" l="1"/>
  <c r="L138" i="1"/>
  <c r="P137" i="1"/>
  <c r="M137" i="1"/>
  <c r="J139" i="1"/>
  <c r="J140" i="1" s="1"/>
  <c r="L139" i="1" l="1"/>
  <c r="P139" i="1" s="1"/>
  <c r="O139" i="1"/>
  <c r="L140" i="1"/>
  <c r="O140" i="1"/>
  <c r="M138" i="1"/>
  <c r="P138" i="1"/>
  <c r="J141" i="1"/>
  <c r="M139" i="1" l="1"/>
  <c r="O141" i="1"/>
  <c r="L141" i="1"/>
  <c r="M140" i="1"/>
  <c r="P140" i="1"/>
  <c r="J142" i="1"/>
  <c r="O142" i="1" l="1"/>
  <c r="L142" i="1"/>
  <c r="M141" i="1"/>
  <c r="P141" i="1"/>
  <c r="J143" i="1"/>
  <c r="J144" i="1"/>
  <c r="O143" i="1" l="1"/>
  <c r="L143" i="1"/>
  <c r="M143" i="1" s="1"/>
  <c r="L144" i="1"/>
  <c r="O144" i="1"/>
  <c r="P142" i="1"/>
  <c r="M142" i="1"/>
  <c r="J145" i="1"/>
  <c r="P143" i="1" l="1"/>
  <c r="O145" i="1"/>
  <c r="L145" i="1"/>
  <c r="P144" i="1"/>
  <c r="M144" i="1"/>
  <c r="J146" i="1"/>
  <c r="L146" i="1" l="1"/>
  <c r="O146" i="1"/>
  <c r="M145" i="1"/>
  <c r="P145" i="1"/>
  <c r="J147" i="1"/>
  <c r="O147" i="1" l="1"/>
  <c r="L147" i="1"/>
  <c r="P147" i="1" s="1"/>
  <c r="P146" i="1"/>
  <c r="M146" i="1"/>
  <c r="J148" i="1"/>
  <c r="J149" i="1"/>
  <c r="L148" i="1" l="1"/>
  <c r="M148" i="1" s="1"/>
  <c r="O148" i="1"/>
  <c r="M147" i="1"/>
  <c r="O149" i="1"/>
  <c r="L149" i="1"/>
  <c r="J150" i="1"/>
  <c r="P148" i="1" l="1"/>
  <c r="O150" i="1"/>
  <c r="L150" i="1"/>
  <c r="M149" i="1"/>
  <c r="P149" i="1"/>
  <c r="J151" i="1"/>
  <c r="J152" i="1"/>
  <c r="O151" i="1" l="1"/>
  <c r="L151" i="1"/>
  <c r="M151" i="1" s="1"/>
  <c r="O152" i="1"/>
  <c r="L152" i="1"/>
  <c r="M150" i="1"/>
  <c r="P150" i="1"/>
  <c r="J153" i="1"/>
  <c r="P151" i="1" l="1"/>
  <c r="O153" i="1"/>
  <c r="L153" i="1"/>
  <c r="M152" i="1"/>
  <c r="P152" i="1"/>
  <c r="J154" i="1"/>
  <c r="L154" i="1" l="1"/>
  <c r="O154" i="1"/>
  <c r="M153" i="1"/>
  <c r="P153" i="1"/>
  <c r="J155" i="1"/>
  <c r="O155" i="1" l="1"/>
  <c r="L155" i="1"/>
  <c r="M155" i="1" s="1"/>
  <c r="P154" i="1"/>
  <c r="M154" i="1"/>
  <c r="J156" i="1"/>
  <c r="J157" i="1" s="1"/>
  <c r="O156" i="1" l="1"/>
  <c r="L156" i="1"/>
  <c r="M156" i="1" s="1"/>
  <c r="P155" i="1"/>
  <c r="O157" i="1"/>
  <c r="L157" i="1"/>
  <c r="J158" i="1"/>
  <c r="P156" i="1" l="1"/>
  <c r="L158" i="1"/>
  <c r="O158" i="1"/>
  <c r="P157" i="1"/>
  <c r="M157" i="1"/>
  <c r="J159" i="1"/>
  <c r="J160" i="1"/>
  <c r="O159" i="1" l="1"/>
  <c r="L159" i="1"/>
  <c r="M159" i="1" s="1"/>
  <c r="L160" i="1"/>
  <c r="O160" i="1"/>
  <c r="M158" i="1"/>
  <c r="P158" i="1"/>
  <c r="J161" i="1"/>
  <c r="P159" i="1" l="1"/>
  <c r="O161" i="1"/>
  <c r="L161" i="1"/>
  <c r="M160" i="1"/>
  <c r="P160" i="1"/>
  <c r="J162" i="1"/>
  <c r="L162" i="1" l="1"/>
  <c r="O162" i="1"/>
  <c r="P161" i="1"/>
  <c r="M161" i="1"/>
  <c r="J163" i="1"/>
  <c r="J164" i="1" s="1"/>
  <c r="O163" i="1" l="1"/>
  <c r="L163" i="1"/>
  <c r="M163" i="1" s="1"/>
  <c r="L164" i="1"/>
  <c r="O164" i="1"/>
  <c r="P162" i="1"/>
  <c r="M162" i="1"/>
  <c r="J165" i="1"/>
  <c r="P163" i="1" l="1"/>
  <c r="O165" i="1"/>
  <c r="L165" i="1"/>
  <c r="M164" i="1"/>
  <c r="P164" i="1"/>
  <c r="J166" i="1"/>
  <c r="L166" i="1" l="1"/>
  <c r="O166" i="1"/>
  <c r="P165" i="1"/>
  <c r="M165" i="1"/>
  <c r="J167" i="1"/>
  <c r="O167" i="1" l="1"/>
  <c r="L167" i="1"/>
  <c r="M166" i="1"/>
  <c r="P166" i="1"/>
  <c r="J168" i="1"/>
  <c r="L168" i="1" l="1"/>
  <c r="O168" i="1"/>
  <c r="P167" i="1"/>
  <c r="M167" i="1"/>
  <c r="J169" i="1"/>
  <c r="O169" i="1" l="1"/>
  <c r="L169" i="1"/>
  <c r="M168" i="1"/>
  <c r="P168" i="1"/>
  <c r="J170" i="1"/>
  <c r="L170" i="1" l="1"/>
  <c r="O170" i="1"/>
  <c r="M169" i="1"/>
  <c r="P169" i="1"/>
  <c r="J171" i="1"/>
  <c r="O171" i="1" l="1"/>
  <c r="L171" i="1"/>
  <c r="M171" i="1" s="1"/>
  <c r="P170" i="1"/>
  <c r="M170" i="1"/>
  <c r="J172" i="1"/>
  <c r="J173" i="1"/>
  <c r="L172" i="1" l="1"/>
  <c r="P172" i="1" s="1"/>
  <c r="O172" i="1"/>
  <c r="P171" i="1"/>
  <c r="O173" i="1"/>
  <c r="L173" i="1"/>
  <c r="J174" i="1"/>
  <c r="J175" i="1"/>
  <c r="M172" i="1" l="1"/>
  <c r="O175" i="1"/>
  <c r="L175" i="1"/>
  <c r="L174" i="1"/>
  <c r="O174" i="1"/>
  <c r="P173" i="1"/>
  <c r="M173" i="1"/>
  <c r="J176" i="1"/>
  <c r="L176" i="1" l="1"/>
  <c r="O176" i="1"/>
  <c r="P175" i="1"/>
  <c r="M175" i="1"/>
  <c r="M174" i="1"/>
  <c r="P174" i="1"/>
  <c r="J177" i="1"/>
  <c r="O177" i="1" l="1"/>
  <c r="L177" i="1"/>
  <c r="M176" i="1"/>
  <c r="P176" i="1"/>
  <c r="J178" i="1"/>
  <c r="L178" i="1" l="1"/>
  <c r="O178" i="1"/>
  <c r="M177" i="1"/>
  <c r="P177" i="1"/>
  <c r="J179" i="1"/>
  <c r="J180" i="1" s="1"/>
  <c r="O179" i="1" l="1"/>
  <c r="L179" i="1"/>
  <c r="M179" i="1" s="1"/>
  <c r="L180" i="1"/>
  <c r="O180" i="1"/>
  <c r="P178" i="1"/>
  <c r="M178" i="1"/>
  <c r="J181" i="1"/>
  <c r="P179" i="1" l="1"/>
  <c r="O181" i="1"/>
  <c r="L181" i="1"/>
  <c r="P180" i="1"/>
  <c r="M180" i="1"/>
  <c r="J182" i="1"/>
  <c r="L182" i="1" l="1"/>
  <c r="O182" i="1"/>
  <c r="M181" i="1"/>
  <c r="P181" i="1"/>
  <c r="J183" i="1"/>
  <c r="O183" i="1" l="1"/>
  <c r="L183" i="1"/>
  <c r="M182" i="1"/>
  <c r="P182" i="1"/>
  <c r="J184" i="1"/>
  <c r="L184" i="1" l="1"/>
  <c r="O184" i="1"/>
  <c r="P183" i="1"/>
  <c r="M183" i="1"/>
  <c r="J185" i="1"/>
  <c r="O185" i="1" l="1"/>
  <c r="L185" i="1"/>
  <c r="M184" i="1"/>
  <c r="P184" i="1"/>
  <c r="J186" i="1"/>
  <c r="L186" i="1" l="1"/>
  <c r="O186" i="1"/>
  <c r="M185" i="1"/>
  <c r="P185" i="1"/>
  <c r="J187" i="1"/>
  <c r="J188" i="1"/>
  <c r="O187" i="1" l="1"/>
  <c r="L187" i="1"/>
  <c r="P187" i="1" s="1"/>
  <c r="O188" i="1"/>
  <c r="L188" i="1"/>
  <c r="M186" i="1"/>
  <c r="P186" i="1"/>
  <c r="J189" i="1"/>
  <c r="M187" i="1" l="1"/>
  <c r="O189" i="1"/>
  <c r="L189" i="1"/>
  <c r="P188" i="1"/>
  <c r="M188" i="1"/>
  <c r="J190" i="1"/>
  <c r="L190" i="1" l="1"/>
  <c r="O190" i="1"/>
  <c r="P189" i="1"/>
  <c r="M189" i="1"/>
  <c r="J191" i="1"/>
  <c r="O191" i="1" l="1"/>
  <c r="L191" i="1"/>
  <c r="P190" i="1"/>
  <c r="M190" i="1"/>
  <c r="J192" i="1"/>
  <c r="O192" i="1" l="1"/>
  <c r="L192" i="1"/>
  <c r="M191" i="1"/>
  <c r="P191" i="1"/>
  <c r="J193" i="1"/>
  <c r="O193" i="1" l="1"/>
  <c r="L193" i="1"/>
  <c r="P192" i="1"/>
  <c r="M192" i="1"/>
  <c r="J194" i="1"/>
  <c r="J195" i="1" s="1"/>
  <c r="O195" i="1" l="1"/>
  <c r="L195" i="1"/>
  <c r="L194" i="1"/>
  <c r="O194" i="1"/>
  <c r="M193" i="1"/>
  <c r="P193" i="1"/>
  <c r="J196" i="1"/>
  <c r="L196" i="1" l="1"/>
  <c r="O196" i="1"/>
  <c r="M195" i="1"/>
  <c r="P195" i="1"/>
  <c r="M194" i="1"/>
  <c r="P194" i="1"/>
  <c r="J197" i="1"/>
  <c r="O197" i="1" l="1"/>
  <c r="L197" i="1"/>
  <c r="M196" i="1"/>
  <c r="P196" i="1"/>
  <c r="J198" i="1"/>
  <c r="L198" i="1" l="1"/>
  <c r="O198" i="1"/>
  <c r="M197" i="1"/>
  <c r="P197" i="1"/>
  <c r="J199" i="1"/>
  <c r="O199" i="1" l="1"/>
  <c r="L199" i="1"/>
  <c r="P198" i="1"/>
  <c r="M198" i="1"/>
  <c r="J200" i="1"/>
  <c r="L200" i="1" l="1"/>
  <c r="O200" i="1"/>
  <c r="P199" i="1"/>
  <c r="M199" i="1"/>
  <c r="J201" i="1"/>
  <c r="O201" i="1" l="1"/>
  <c r="L201" i="1"/>
  <c r="P200" i="1"/>
  <c r="M200" i="1"/>
  <c r="J202" i="1"/>
  <c r="J203" i="1" s="1"/>
  <c r="O203" i="1" l="1"/>
  <c r="L203" i="1"/>
  <c r="L202" i="1"/>
  <c r="O202" i="1"/>
  <c r="P201" i="1"/>
  <c r="M201" i="1"/>
  <c r="J204" i="1"/>
  <c r="L204" i="1" l="1"/>
  <c r="O204" i="1"/>
  <c r="M203" i="1"/>
  <c r="P203" i="1"/>
  <c r="M202" i="1"/>
  <c r="P202" i="1"/>
  <c r="J205" i="1"/>
  <c r="O205" i="1" l="1"/>
  <c r="L205" i="1"/>
  <c r="M204" i="1"/>
  <c r="P204" i="1"/>
  <c r="J206" i="1"/>
  <c r="L206" i="1" l="1"/>
  <c r="O206" i="1"/>
  <c r="M205" i="1"/>
  <c r="P205" i="1"/>
  <c r="J207" i="1"/>
  <c r="O207" i="1" l="1"/>
  <c r="L207" i="1"/>
  <c r="P206" i="1"/>
  <c r="M206" i="1"/>
  <c r="J208" i="1"/>
  <c r="L208" i="1" l="1"/>
  <c r="O208" i="1"/>
  <c r="P207" i="1"/>
  <c r="M207" i="1"/>
  <c r="J209" i="1"/>
  <c r="O209" i="1" l="1"/>
  <c r="L209" i="1"/>
  <c r="M208" i="1"/>
  <c r="P208" i="1"/>
  <c r="J210" i="1"/>
  <c r="L210" i="1" l="1"/>
  <c r="O210" i="1"/>
  <c r="P209" i="1"/>
  <c r="M209" i="1"/>
  <c r="J211" i="1"/>
  <c r="O211" i="1" l="1"/>
  <c r="L211" i="1"/>
  <c r="M211" i="1" s="1"/>
  <c r="M210" i="1"/>
  <c r="P210" i="1"/>
  <c r="J212" i="1"/>
  <c r="J213" i="1"/>
  <c r="O212" i="1" l="1"/>
  <c r="L212" i="1"/>
  <c r="M212" i="1" s="1"/>
  <c r="P211" i="1"/>
  <c r="O213" i="1"/>
  <c r="L213" i="1"/>
  <c r="J214" i="1"/>
  <c r="P212" i="1" l="1"/>
  <c r="L214" i="1"/>
  <c r="O214" i="1"/>
  <c r="M213" i="1"/>
  <c r="P213" i="1"/>
  <c r="J215" i="1"/>
  <c r="O215" i="1" l="1"/>
  <c r="L215" i="1"/>
  <c r="M214" i="1"/>
  <c r="P214" i="1"/>
  <c r="J216" i="1"/>
  <c r="L216" i="1" l="1"/>
  <c r="O216" i="1"/>
  <c r="M215" i="1"/>
  <c r="P215" i="1"/>
  <c r="J217" i="1"/>
  <c r="O217" i="1" l="1"/>
  <c r="L217" i="1"/>
  <c r="M216" i="1"/>
  <c r="P216" i="1"/>
  <c r="J218" i="1"/>
  <c r="L218" i="1" l="1"/>
  <c r="O218" i="1"/>
  <c r="P217" i="1"/>
  <c r="M217" i="1"/>
  <c r="J219" i="1"/>
  <c r="J220" i="1" s="1"/>
  <c r="O219" i="1" l="1"/>
  <c r="L219" i="1"/>
  <c r="M219" i="1" s="1"/>
  <c r="L220" i="1"/>
  <c r="O220" i="1"/>
  <c r="P218" i="1"/>
  <c r="M218" i="1"/>
  <c r="J221" i="1"/>
  <c r="P219" i="1" l="1"/>
  <c r="O221" i="1"/>
  <c r="L221" i="1"/>
  <c r="P220" i="1"/>
  <c r="M220" i="1"/>
  <c r="J222" i="1"/>
  <c r="L222" i="1" l="1"/>
  <c r="O222" i="1"/>
  <c r="M221" i="1"/>
  <c r="P221" i="1"/>
  <c r="J223" i="1"/>
  <c r="O223" i="1" l="1"/>
  <c r="L223" i="1"/>
  <c r="M222" i="1"/>
  <c r="P222" i="1"/>
  <c r="J224" i="1"/>
  <c r="L224" i="1" l="1"/>
  <c r="O224" i="1"/>
  <c r="M223" i="1"/>
  <c r="P223" i="1"/>
  <c r="J225" i="1"/>
  <c r="O225" i="1" l="1"/>
  <c r="L225" i="1"/>
  <c r="M224" i="1"/>
  <c r="P224" i="1"/>
  <c r="J226" i="1"/>
  <c r="L226" i="1" l="1"/>
  <c r="O226" i="1"/>
  <c r="P225" i="1"/>
  <c r="M225" i="1"/>
  <c r="J227" i="1"/>
  <c r="J228" i="1"/>
  <c r="O227" i="1" l="1"/>
  <c r="L227" i="1"/>
  <c r="P227" i="1" s="1"/>
  <c r="L228" i="1"/>
  <c r="O228" i="1"/>
  <c r="P226" i="1"/>
  <c r="M226" i="1"/>
  <c r="J229" i="1"/>
  <c r="M227" i="1" l="1"/>
  <c r="O229" i="1"/>
  <c r="L229" i="1"/>
  <c r="P228" i="1"/>
  <c r="M228" i="1"/>
  <c r="J230" i="1"/>
  <c r="L230" i="1" l="1"/>
  <c r="O230" i="1"/>
  <c r="M229" i="1"/>
  <c r="P229" i="1"/>
  <c r="J231" i="1"/>
  <c r="O231" i="1" l="1"/>
  <c r="L231" i="1"/>
  <c r="M230" i="1"/>
  <c r="P230" i="1"/>
  <c r="J232" i="1"/>
  <c r="L232" i="1" l="1"/>
  <c r="O232" i="1"/>
  <c r="M231" i="1"/>
  <c r="P231" i="1"/>
  <c r="J233" i="1"/>
  <c r="O233" i="1" l="1"/>
  <c r="L233" i="1"/>
  <c r="P232" i="1"/>
  <c r="M232" i="1"/>
  <c r="J234" i="1"/>
  <c r="L234" i="1" l="1"/>
  <c r="O234" i="1"/>
  <c r="P233" i="1"/>
  <c r="M233" i="1"/>
  <c r="J235" i="1"/>
  <c r="O235" i="1" l="1"/>
  <c r="L235" i="1"/>
  <c r="P235" i="1" s="1"/>
  <c r="P234" i="1"/>
  <c r="M234" i="1"/>
  <c r="J236" i="1"/>
  <c r="J237" i="1" s="1"/>
  <c r="L236" i="1" l="1"/>
  <c r="M236" i="1" s="1"/>
  <c r="O236" i="1"/>
  <c r="M235" i="1"/>
  <c r="O237" i="1"/>
  <c r="L237" i="1"/>
  <c r="J238" i="1"/>
  <c r="P236" i="1" l="1"/>
  <c r="O238" i="1"/>
  <c r="L238" i="1"/>
  <c r="M237" i="1"/>
  <c r="P237" i="1"/>
  <c r="J239" i="1"/>
  <c r="L239" i="1" l="1"/>
  <c r="O239" i="1"/>
  <c r="M238" i="1"/>
  <c r="P238" i="1"/>
  <c r="J240" i="1"/>
  <c r="L240" i="1" l="1"/>
  <c r="O240" i="1"/>
  <c r="M239" i="1"/>
  <c r="P239" i="1"/>
  <c r="J241" i="1"/>
  <c r="L241" i="1" l="1"/>
  <c r="O241" i="1"/>
  <c r="M240" i="1"/>
  <c r="P240" i="1"/>
  <c r="J242" i="1"/>
  <c r="L242" i="1" l="1"/>
  <c r="O242" i="1"/>
  <c r="P241" i="1"/>
  <c r="M241" i="1"/>
  <c r="J243" i="1"/>
  <c r="L243" i="1" l="1"/>
  <c r="M243" i="1" s="1"/>
  <c r="O243" i="1"/>
  <c r="P242" i="1"/>
  <c r="M242" i="1"/>
  <c r="J244" i="1"/>
  <c r="J245" i="1"/>
  <c r="O244" i="1" l="1"/>
  <c r="L244" i="1"/>
  <c r="M244" i="1" s="1"/>
  <c r="P243" i="1"/>
  <c r="L245" i="1"/>
  <c r="O245" i="1"/>
  <c r="J246" i="1"/>
  <c r="P244" i="1" l="1"/>
  <c r="L246" i="1"/>
  <c r="O246" i="1"/>
  <c r="M245" i="1"/>
  <c r="P245" i="1"/>
  <c r="J247" i="1"/>
  <c r="L247" i="1" l="1"/>
  <c r="O247" i="1"/>
  <c r="M246" i="1"/>
  <c r="P246" i="1"/>
  <c r="J248" i="1"/>
  <c r="L248" i="1" l="1"/>
  <c r="O248" i="1"/>
  <c r="M247" i="1"/>
  <c r="P247" i="1"/>
  <c r="J249" i="1"/>
  <c r="L249" i="1" l="1"/>
  <c r="O249" i="1"/>
  <c r="M248" i="1"/>
  <c r="P248" i="1"/>
  <c r="J250" i="1"/>
  <c r="L250" i="1" l="1"/>
  <c r="O250" i="1"/>
  <c r="P249" i="1"/>
  <c r="M249" i="1"/>
  <c r="J251" i="1"/>
  <c r="L251" i="1" l="1"/>
  <c r="P251" i="1" s="1"/>
  <c r="O251" i="1"/>
  <c r="M250" i="1"/>
  <c r="P250" i="1"/>
  <c r="J252" i="1"/>
  <c r="J253" i="1"/>
  <c r="L252" i="1" l="1"/>
  <c r="P252" i="1" s="1"/>
  <c r="O252" i="1"/>
  <c r="M251" i="1"/>
  <c r="L253" i="1"/>
  <c r="O253" i="1"/>
  <c r="J254" i="1"/>
  <c r="M252" i="1" l="1"/>
  <c r="L254" i="1"/>
  <c r="O254" i="1"/>
  <c r="M253" i="1"/>
  <c r="P253" i="1"/>
  <c r="J255" i="1"/>
  <c r="L255" i="1" l="1"/>
  <c r="O255" i="1"/>
  <c r="M254" i="1"/>
  <c r="P254" i="1"/>
  <c r="J256" i="1"/>
  <c r="O256" i="1" l="1"/>
  <c r="L256" i="1"/>
  <c r="M255" i="1"/>
  <c r="P255" i="1"/>
  <c r="J257" i="1"/>
  <c r="L257" i="1" l="1"/>
  <c r="O257" i="1"/>
  <c r="M256" i="1"/>
  <c r="P256" i="1"/>
  <c r="J258" i="1"/>
  <c r="L258" i="1" l="1"/>
  <c r="O258" i="1"/>
  <c r="P257" i="1"/>
  <c r="M257" i="1"/>
  <c r="J259" i="1"/>
  <c r="L259" i="1" l="1"/>
  <c r="M259" i="1" s="1"/>
  <c r="O259" i="1"/>
  <c r="P258" i="1"/>
  <c r="M258" i="1"/>
  <c r="J260" i="1"/>
  <c r="J261" i="1" s="1"/>
  <c r="O260" i="1" l="1"/>
  <c r="L260" i="1"/>
  <c r="P260" i="1" s="1"/>
  <c r="P259" i="1"/>
  <c r="L261" i="1"/>
  <c r="O261" i="1"/>
  <c r="J262" i="1"/>
  <c r="M260" i="1" l="1"/>
  <c r="L262" i="1"/>
  <c r="O262" i="1"/>
  <c r="M261" i="1"/>
  <c r="P261" i="1"/>
  <c r="J263" i="1"/>
  <c r="L263" i="1" l="1"/>
  <c r="O263" i="1"/>
  <c r="M262" i="1"/>
  <c r="P262" i="1"/>
  <c r="J264" i="1"/>
  <c r="L264" i="1" l="1"/>
  <c r="O264" i="1"/>
  <c r="P263" i="1"/>
  <c r="M263" i="1"/>
  <c r="J265" i="1"/>
  <c r="L265" i="1" l="1"/>
  <c r="O265" i="1"/>
  <c r="P264" i="1"/>
  <c r="M264" i="1"/>
  <c r="J266" i="1"/>
  <c r="L266" i="1" l="1"/>
  <c r="O266" i="1"/>
  <c r="P265" i="1"/>
  <c r="M265" i="1"/>
  <c r="J267" i="1"/>
  <c r="L267" i="1" l="1"/>
  <c r="M267" i="1" s="1"/>
  <c r="O267" i="1"/>
  <c r="P266" i="1"/>
  <c r="M266" i="1"/>
  <c r="J268" i="1"/>
  <c r="J269" i="1"/>
  <c r="L268" i="1" l="1"/>
  <c r="P268" i="1" s="1"/>
  <c r="O268" i="1"/>
  <c r="P267" i="1"/>
  <c r="L269" i="1"/>
  <c r="O269" i="1"/>
  <c r="J270" i="1"/>
  <c r="M268" i="1" l="1"/>
  <c r="L270" i="1"/>
  <c r="O270" i="1"/>
  <c r="M269" i="1"/>
  <c r="P269" i="1"/>
  <c r="J271" i="1"/>
  <c r="L271" i="1" l="1"/>
  <c r="O271" i="1"/>
  <c r="M270" i="1"/>
  <c r="P270" i="1"/>
  <c r="J272" i="1"/>
  <c r="O272" i="1" l="1"/>
  <c r="L272" i="1"/>
  <c r="M271" i="1"/>
  <c r="P271" i="1"/>
  <c r="J273" i="1"/>
  <c r="L273" i="1" l="1"/>
  <c r="O273" i="1"/>
  <c r="M272" i="1"/>
  <c r="P272" i="1"/>
  <c r="J274" i="1"/>
  <c r="L274" i="1" l="1"/>
  <c r="O274" i="1"/>
  <c r="P273" i="1"/>
  <c r="M273" i="1"/>
  <c r="J275" i="1"/>
  <c r="L275" i="1" l="1"/>
  <c r="M275" i="1" s="1"/>
  <c r="O275" i="1"/>
  <c r="M274" i="1"/>
  <c r="P274" i="1"/>
  <c r="J276" i="1"/>
  <c r="J277" i="1" s="1"/>
  <c r="O276" i="1" l="1"/>
  <c r="L276" i="1"/>
  <c r="M276" i="1" s="1"/>
  <c r="P275" i="1"/>
  <c r="L277" i="1"/>
  <c r="O277" i="1"/>
  <c r="J278" i="1"/>
  <c r="P276" i="1" l="1"/>
  <c r="L278" i="1"/>
  <c r="O278" i="1"/>
  <c r="M277" i="1"/>
  <c r="P277" i="1"/>
  <c r="J279" i="1"/>
  <c r="L279" i="1" l="1"/>
  <c r="O279" i="1"/>
  <c r="M278" i="1"/>
  <c r="P278" i="1"/>
  <c r="J280" i="1"/>
  <c r="L280" i="1" l="1"/>
  <c r="O280" i="1"/>
  <c r="M279" i="1"/>
  <c r="P279" i="1"/>
  <c r="J281" i="1"/>
  <c r="L281" i="1" l="1"/>
  <c r="O281" i="1"/>
  <c r="P280" i="1"/>
  <c r="M280" i="1"/>
  <c r="J282" i="1"/>
  <c r="L282" i="1" l="1"/>
  <c r="O282" i="1"/>
  <c r="P281" i="1"/>
  <c r="M281" i="1"/>
  <c r="J283" i="1"/>
  <c r="L283" i="1" l="1"/>
  <c r="M283" i="1" s="1"/>
  <c r="O283" i="1"/>
  <c r="P282" i="1"/>
  <c r="M282" i="1"/>
  <c r="J284" i="1"/>
  <c r="J285" i="1" s="1"/>
  <c r="O284" i="1" l="1"/>
  <c r="L284" i="1"/>
  <c r="P284" i="1" s="1"/>
  <c r="P283" i="1"/>
  <c r="L285" i="1"/>
  <c r="O285" i="1"/>
  <c r="J286" i="1"/>
  <c r="M284" i="1" l="1"/>
  <c r="L286" i="1"/>
  <c r="O286" i="1"/>
  <c r="M285" i="1"/>
  <c r="P285" i="1"/>
  <c r="J287" i="1"/>
  <c r="L287" i="1" l="1"/>
  <c r="O287" i="1"/>
  <c r="P286" i="1"/>
  <c r="M286" i="1"/>
  <c r="J288" i="1"/>
  <c r="L288" i="1" l="1"/>
  <c r="O288" i="1"/>
  <c r="M287" i="1"/>
  <c r="P287" i="1"/>
  <c r="J289" i="1"/>
  <c r="L289" i="1" l="1"/>
  <c r="O289" i="1"/>
  <c r="P288" i="1"/>
  <c r="M288" i="1"/>
  <c r="J290" i="1"/>
  <c r="L290" i="1" l="1"/>
  <c r="O290" i="1"/>
  <c r="M289" i="1"/>
  <c r="P289" i="1"/>
  <c r="J291" i="1"/>
  <c r="L291" i="1" l="1"/>
  <c r="M291" i="1" s="1"/>
  <c r="O291" i="1"/>
  <c r="M290" i="1"/>
  <c r="P290" i="1"/>
  <c r="J292" i="1"/>
  <c r="J293" i="1"/>
  <c r="O292" i="1" l="1"/>
  <c r="L292" i="1"/>
  <c r="M292" i="1" s="1"/>
  <c r="P291" i="1"/>
  <c r="L293" i="1"/>
  <c r="O293" i="1"/>
  <c r="J294" i="1"/>
  <c r="P292" i="1" l="1"/>
  <c r="L294" i="1"/>
  <c r="O294" i="1"/>
  <c r="M293" i="1"/>
  <c r="P293" i="1"/>
  <c r="J295" i="1"/>
  <c r="L295" i="1" l="1"/>
  <c r="O295" i="1"/>
  <c r="P294" i="1"/>
  <c r="M294" i="1"/>
  <c r="J296" i="1"/>
  <c r="L296" i="1" l="1"/>
  <c r="O296" i="1"/>
  <c r="P295" i="1"/>
  <c r="M295" i="1"/>
  <c r="J297" i="1"/>
  <c r="L297" i="1" l="1"/>
  <c r="O297" i="1"/>
  <c r="M296" i="1"/>
  <c r="P296" i="1"/>
  <c r="J298" i="1"/>
  <c r="L298" i="1" l="1"/>
  <c r="O298" i="1"/>
  <c r="P297" i="1"/>
  <c r="M297" i="1"/>
  <c r="J299" i="1"/>
  <c r="L299" i="1" l="1"/>
  <c r="O299" i="1"/>
  <c r="P298" i="1"/>
  <c r="M298" i="1"/>
  <c r="J300" i="1"/>
  <c r="O300" i="1" l="1"/>
  <c r="L300" i="1"/>
  <c r="M299" i="1"/>
  <c r="P299" i="1"/>
  <c r="J301" i="1"/>
  <c r="L301" i="1" l="1"/>
  <c r="O301" i="1"/>
  <c r="M300" i="1"/>
  <c r="P300" i="1"/>
  <c r="J302" i="1"/>
  <c r="L302" i="1" l="1"/>
  <c r="O302" i="1"/>
  <c r="P301" i="1"/>
  <c r="M301" i="1"/>
  <c r="J303" i="1"/>
  <c r="L303" i="1" l="1"/>
  <c r="M303" i="1" s="1"/>
  <c r="O303" i="1"/>
  <c r="M302" i="1"/>
  <c r="P302" i="1"/>
  <c r="J304" i="1"/>
  <c r="J305" i="1"/>
  <c r="O304" i="1" l="1"/>
  <c r="L304" i="1"/>
  <c r="M304" i="1" s="1"/>
  <c r="P303" i="1"/>
  <c r="L305" i="1"/>
  <c r="O305" i="1"/>
  <c r="J306" i="1"/>
  <c r="P304" i="1" l="1"/>
  <c r="L306" i="1"/>
  <c r="O306" i="1"/>
  <c r="M305" i="1"/>
  <c r="P305" i="1"/>
  <c r="J307" i="1"/>
  <c r="L307" i="1" l="1"/>
  <c r="O307" i="1"/>
  <c r="P306" i="1"/>
  <c r="M306" i="1"/>
  <c r="J308" i="1"/>
  <c r="L308" i="1" l="1"/>
  <c r="O308" i="1"/>
  <c r="M307" i="1"/>
  <c r="P307" i="1"/>
  <c r="J309" i="1"/>
  <c r="L309" i="1" l="1"/>
  <c r="O309" i="1"/>
  <c r="M308" i="1"/>
  <c r="P308" i="1"/>
  <c r="J310" i="1"/>
  <c r="L310" i="1" l="1"/>
  <c r="O310" i="1"/>
  <c r="P309" i="1"/>
  <c r="M309" i="1"/>
  <c r="J311" i="1"/>
  <c r="L311" i="1" l="1"/>
  <c r="M311" i="1" s="1"/>
  <c r="O311" i="1"/>
  <c r="M310" i="1"/>
  <c r="P310" i="1"/>
  <c r="J312" i="1"/>
  <c r="O312" i="1" l="1"/>
  <c r="L312" i="1"/>
  <c r="M312" i="1" s="1"/>
  <c r="P311" i="1"/>
  <c r="J313" i="1"/>
  <c r="J314" i="1"/>
  <c r="L313" i="1" l="1"/>
  <c r="P313" i="1" s="1"/>
  <c r="O313" i="1"/>
  <c r="P312" i="1"/>
  <c r="L314" i="1"/>
  <c r="O314" i="1"/>
  <c r="J315" i="1"/>
  <c r="M313" i="1" l="1"/>
  <c r="L315" i="1"/>
  <c r="O315" i="1"/>
  <c r="P314" i="1"/>
  <c r="M314" i="1"/>
  <c r="J316" i="1"/>
  <c r="O316" i="1" l="1"/>
  <c r="L316" i="1"/>
  <c r="M315" i="1"/>
  <c r="P315" i="1"/>
  <c r="J317" i="1"/>
  <c r="L317" i="1" l="1"/>
  <c r="O317" i="1"/>
  <c r="P316" i="1"/>
  <c r="M316" i="1"/>
  <c r="J318" i="1"/>
  <c r="L318" i="1" l="1"/>
  <c r="O318" i="1"/>
  <c r="P317" i="1"/>
  <c r="M317" i="1"/>
  <c r="J319" i="1"/>
  <c r="L319" i="1" l="1"/>
  <c r="P319" i="1" s="1"/>
  <c r="O319" i="1"/>
  <c r="M318" i="1"/>
  <c r="P318" i="1"/>
  <c r="J320" i="1"/>
  <c r="J321" i="1" s="1"/>
  <c r="O320" i="1" l="1"/>
  <c r="L320" i="1"/>
  <c r="P320" i="1" s="1"/>
  <c r="M319" i="1"/>
  <c r="L321" i="1"/>
  <c r="O321" i="1"/>
  <c r="J322" i="1"/>
  <c r="M320" i="1" l="1"/>
  <c r="L322" i="1"/>
  <c r="O322" i="1"/>
  <c r="P321" i="1"/>
  <c r="M321" i="1"/>
  <c r="J323" i="1"/>
  <c r="L323" i="1" l="1"/>
  <c r="O323" i="1"/>
  <c r="P322" i="1"/>
  <c r="M322" i="1"/>
  <c r="J324" i="1"/>
  <c r="L324" i="1" l="1"/>
  <c r="O324" i="1"/>
  <c r="P323" i="1"/>
  <c r="M323" i="1"/>
  <c r="J325" i="1"/>
  <c r="L325" i="1" l="1"/>
  <c r="O325" i="1"/>
  <c r="M324" i="1"/>
  <c r="P324" i="1"/>
  <c r="J326" i="1"/>
  <c r="L326" i="1" l="1"/>
  <c r="O326" i="1"/>
  <c r="M325" i="1"/>
  <c r="P325" i="1"/>
  <c r="J327" i="1"/>
  <c r="L327" i="1" l="1"/>
  <c r="P327" i="1" s="1"/>
  <c r="O327" i="1"/>
  <c r="M326" i="1"/>
  <c r="P326" i="1"/>
  <c r="J328" i="1"/>
  <c r="J329" i="1"/>
  <c r="O328" i="1" l="1"/>
  <c r="L328" i="1"/>
  <c r="M328" i="1" s="1"/>
  <c r="M327" i="1"/>
  <c r="L329" i="1"/>
  <c r="O329" i="1"/>
  <c r="J330" i="1"/>
  <c r="P328" i="1" l="1"/>
  <c r="L330" i="1"/>
  <c r="O330" i="1"/>
  <c r="P329" i="1"/>
  <c r="M329" i="1"/>
  <c r="J331" i="1"/>
  <c r="J332" i="1" s="1"/>
  <c r="L331" i="1" l="1"/>
  <c r="P331" i="1" s="1"/>
  <c r="O331" i="1"/>
  <c r="L332" i="1"/>
  <c r="O332" i="1"/>
  <c r="P330" i="1"/>
  <c r="M330" i="1"/>
  <c r="J333" i="1"/>
  <c r="M331" i="1" l="1"/>
  <c r="L333" i="1"/>
  <c r="O333" i="1"/>
  <c r="P332" i="1"/>
  <c r="M332" i="1"/>
  <c r="J334" i="1"/>
  <c r="L334" i="1" l="1"/>
  <c r="O334" i="1"/>
  <c r="M333" i="1"/>
  <c r="P333" i="1"/>
  <c r="J335" i="1"/>
  <c r="L335" i="1" l="1"/>
  <c r="O335" i="1"/>
  <c r="P334" i="1"/>
  <c r="M334" i="1"/>
  <c r="J336" i="1"/>
  <c r="L336" i="1" l="1"/>
  <c r="O336" i="1"/>
  <c r="M335" i="1"/>
  <c r="P335" i="1"/>
  <c r="J337" i="1"/>
  <c r="L337" i="1" l="1"/>
  <c r="O337" i="1"/>
  <c r="P336" i="1"/>
  <c r="M336" i="1"/>
  <c r="J338" i="1"/>
  <c r="L338" i="1" l="1"/>
  <c r="O338" i="1"/>
  <c r="P337" i="1"/>
  <c r="M337" i="1"/>
  <c r="J339" i="1"/>
  <c r="L339" i="1" l="1"/>
  <c r="P339" i="1" s="1"/>
  <c r="O339" i="1"/>
  <c r="P338" i="1"/>
  <c r="M338" i="1"/>
  <c r="J340" i="1"/>
  <c r="J341" i="1"/>
  <c r="O340" i="1" l="1"/>
  <c r="L340" i="1"/>
  <c r="P340" i="1" s="1"/>
  <c r="M339" i="1"/>
  <c r="L341" i="1"/>
  <c r="O341" i="1"/>
  <c r="J342" i="1"/>
  <c r="M340" i="1" l="1"/>
  <c r="L342" i="1"/>
  <c r="O342" i="1"/>
  <c r="M341" i="1"/>
  <c r="P341" i="1"/>
  <c r="J343" i="1"/>
  <c r="L343" i="1" l="1"/>
  <c r="O343" i="1"/>
  <c r="P342" i="1"/>
  <c r="M342" i="1"/>
  <c r="J344" i="1"/>
  <c r="L344" i="1" l="1"/>
  <c r="O344" i="1"/>
  <c r="P343" i="1"/>
  <c r="M343" i="1"/>
  <c r="J345" i="1"/>
  <c r="L345" i="1" l="1"/>
  <c r="O345" i="1"/>
  <c r="M344" i="1"/>
  <c r="P344" i="1"/>
  <c r="J346" i="1"/>
  <c r="L346" i="1" l="1"/>
  <c r="O346" i="1"/>
  <c r="P345" i="1"/>
  <c r="M345" i="1"/>
  <c r="J347" i="1"/>
  <c r="L347" i="1" l="1"/>
  <c r="O347" i="1"/>
  <c r="P346" i="1"/>
  <c r="M346" i="1"/>
  <c r="J348" i="1"/>
  <c r="L348" i="1" l="1"/>
  <c r="O348" i="1"/>
  <c r="M347" i="1"/>
  <c r="P347" i="1"/>
  <c r="J349" i="1"/>
  <c r="L349" i="1" l="1"/>
  <c r="O349" i="1"/>
  <c r="M348" i="1"/>
  <c r="P348" i="1"/>
  <c r="J350" i="1"/>
  <c r="L350" i="1" l="1"/>
  <c r="O350" i="1"/>
  <c r="M349" i="1"/>
  <c r="P349" i="1"/>
  <c r="J351" i="1"/>
  <c r="J352" i="1"/>
  <c r="L351" i="1" l="1"/>
  <c r="M351" i="1" s="1"/>
  <c r="O351" i="1"/>
  <c r="L352" i="1"/>
  <c r="O352" i="1"/>
  <c r="M350" i="1"/>
  <c r="P350" i="1"/>
  <c r="J353" i="1"/>
  <c r="P351" i="1" l="1"/>
  <c r="L353" i="1"/>
  <c r="O353" i="1"/>
  <c r="M352" i="1"/>
  <c r="P352" i="1"/>
  <c r="J354" i="1"/>
  <c r="L354" i="1" l="1"/>
  <c r="O354" i="1"/>
  <c r="M353" i="1"/>
  <c r="P353" i="1"/>
  <c r="J355" i="1"/>
  <c r="L355" i="1" l="1"/>
  <c r="O355" i="1"/>
  <c r="P354" i="1"/>
  <c r="M354" i="1"/>
  <c r="J356" i="1"/>
  <c r="L356" i="1" l="1"/>
  <c r="O356" i="1"/>
  <c r="P355" i="1"/>
  <c r="M355" i="1"/>
  <c r="J357" i="1"/>
  <c r="L357" i="1" l="1"/>
  <c r="O357" i="1"/>
  <c r="M356" i="1"/>
  <c r="P356" i="1"/>
  <c r="J358" i="1"/>
  <c r="L358" i="1" l="1"/>
  <c r="O358" i="1"/>
  <c r="M357" i="1"/>
  <c r="P357" i="1"/>
  <c r="J359" i="1"/>
  <c r="L359" i="1" l="1"/>
  <c r="P359" i="1" s="1"/>
  <c r="O359" i="1"/>
  <c r="P358" i="1"/>
  <c r="M358" i="1"/>
  <c r="J360" i="1"/>
  <c r="J361" i="1" s="1"/>
  <c r="O360" i="1" l="1"/>
  <c r="L360" i="1"/>
  <c r="M360" i="1" s="1"/>
  <c r="M359" i="1"/>
  <c r="L361" i="1"/>
  <c r="O361" i="1"/>
  <c r="J362" i="1"/>
  <c r="P360" i="1" l="1"/>
  <c r="L362" i="1"/>
  <c r="O362" i="1"/>
  <c r="M361" i="1"/>
  <c r="P361" i="1"/>
  <c r="J363" i="1"/>
  <c r="L363" i="1" l="1"/>
  <c r="O363" i="1"/>
  <c r="M362" i="1"/>
  <c r="P362" i="1"/>
  <c r="J364" i="1"/>
  <c r="O364" i="1" l="1"/>
  <c r="L364" i="1"/>
  <c r="M363" i="1"/>
  <c r="P363" i="1"/>
  <c r="J365" i="1"/>
  <c r="L365" i="1" l="1"/>
  <c r="O365" i="1"/>
  <c r="P364" i="1"/>
  <c r="M364" i="1"/>
  <c r="J366" i="1"/>
  <c r="L366" i="1" l="1"/>
  <c r="O366" i="1"/>
  <c r="M365" i="1"/>
  <c r="P365" i="1"/>
  <c r="J367" i="1"/>
  <c r="L367" i="1" l="1"/>
  <c r="M367" i="1" s="1"/>
  <c r="O367" i="1"/>
  <c r="M366" i="1"/>
  <c r="P366" i="1"/>
  <c r="J368" i="1"/>
  <c r="J369" i="1" s="1"/>
  <c r="O368" i="1" l="1"/>
  <c r="L368" i="1"/>
  <c r="P368" i="1" s="1"/>
  <c r="P367" i="1"/>
  <c r="L369" i="1"/>
  <c r="O369" i="1"/>
  <c r="J370" i="1"/>
  <c r="M368" i="1" l="1"/>
  <c r="L370" i="1"/>
  <c r="O370" i="1"/>
  <c r="M369" i="1"/>
  <c r="P369" i="1"/>
  <c r="J371" i="1"/>
  <c r="L371" i="1" l="1"/>
  <c r="O371" i="1"/>
  <c r="P370" i="1"/>
  <c r="M370" i="1"/>
  <c r="J372" i="1"/>
  <c r="L372" i="1" l="1"/>
  <c r="O372" i="1"/>
  <c r="P371" i="1"/>
  <c r="M371" i="1"/>
  <c r="J373" i="1"/>
  <c r="L373" i="1" l="1"/>
  <c r="O373" i="1"/>
  <c r="P372" i="1"/>
  <c r="M372" i="1"/>
  <c r="J374" i="1"/>
  <c r="L374" i="1" l="1"/>
  <c r="O374" i="1"/>
  <c r="M373" i="1"/>
  <c r="P373" i="1"/>
  <c r="J375" i="1"/>
  <c r="L375" i="1" l="1"/>
  <c r="P375" i="1" s="1"/>
  <c r="O375" i="1"/>
  <c r="P374" i="1"/>
  <c r="M374" i="1"/>
  <c r="J376" i="1"/>
  <c r="J377" i="1" s="1"/>
  <c r="O376" i="1" l="1"/>
  <c r="L376" i="1"/>
  <c r="M376" i="1" s="1"/>
  <c r="M375" i="1"/>
  <c r="L377" i="1"/>
  <c r="O377" i="1"/>
  <c r="J378" i="1"/>
  <c r="P376" i="1" l="1"/>
  <c r="L378" i="1"/>
  <c r="O378" i="1"/>
  <c r="P377" i="1"/>
  <c r="M377" i="1"/>
  <c r="J379" i="1"/>
  <c r="L379" i="1" l="1"/>
  <c r="O379" i="1"/>
  <c r="P378" i="1"/>
  <c r="M378" i="1"/>
  <c r="J380" i="1"/>
  <c r="O380" i="1" l="1"/>
  <c r="L380" i="1"/>
  <c r="M379" i="1"/>
  <c r="P379" i="1"/>
  <c r="J381" i="1"/>
  <c r="L381" i="1" l="1"/>
  <c r="O381" i="1"/>
  <c r="P380" i="1"/>
  <c r="M380" i="1"/>
  <c r="J382" i="1"/>
  <c r="L382" i="1" l="1"/>
  <c r="O382" i="1"/>
  <c r="M381" i="1"/>
  <c r="P381" i="1"/>
  <c r="J383" i="1"/>
  <c r="L383" i="1" l="1"/>
  <c r="M383" i="1" s="1"/>
  <c r="O383" i="1"/>
  <c r="M382" i="1"/>
  <c r="P382" i="1"/>
  <c r="J384" i="1"/>
  <c r="O384" i="1" l="1"/>
  <c r="L384" i="1"/>
  <c r="P384" i="1" s="1"/>
  <c r="P383" i="1"/>
  <c r="J385" i="1"/>
  <c r="J386" i="1"/>
  <c r="L385" i="1" l="1"/>
  <c r="M385" i="1" s="1"/>
  <c r="O385" i="1"/>
  <c r="M384" i="1"/>
  <c r="L386" i="1"/>
  <c r="O386" i="1"/>
  <c r="J387" i="1"/>
  <c r="P385" i="1" l="1"/>
  <c r="L387" i="1"/>
  <c r="O387" i="1"/>
  <c r="P386" i="1"/>
  <c r="M386" i="1"/>
  <c r="J388" i="1"/>
  <c r="L388" i="1" l="1"/>
  <c r="O388" i="1"/>
  <c r="P387" i="1"/>
  <c r="M387" i="1"/>
  <c r="J389" i="1"/>
  <c r="L389" i="1" l="1"/>
  <c r="O389" i="1"/>
  <c r="M388" i="1"/>
  <c r="P388" i="1"/>
  <c r="J390" i="1"/>
  <c r="L390" i="1" l="1"/>
  <c r="O390" i="1"/>
  <c r="M389" i="1"/>
  <c r="P389" i="1"/>
  <c r="J391" i="1"/>
  <c r="L391" i="1" l="1"/>
  <c r="M391" i="1" s="1"/>
  <c r="O391" i="1"/>
  <c r="P390" i="1"/>
  <c r="M390" i="1"/>
  <c r="J392" i="1"/>
  <c r="J393" i="1" s="1"/>
  <c r="O392" i="1" l="1"/>
  <c r="L392" i="1"/>
  <c r="M392" i="1" s="1"/>
  <c r="P391" i="1"/>
  <c r="L393" i="1"/>
  <c r="O393" i="1"/>
  <c r="J394" i="1"/>
  <c r="P392" i="1" l="1"/>
  <c r="L394" i="1"/>
  <c r="O394" i="1"/>
  <c r="P393" i="1"/>
  <c r="M393" i="1"/>
  <c r="J395" i="1"/>
  <c r="L395" i="1" l="1"/>
  <c r="O395" i="1"/>
  <c r="M394" i="1"/>
  <c r="P394" i="1"/>
  <c r="J396" i="1"/>
  <c r="O396" i="1" l="1"/>
  <c r="L396" i="1"/>
  <c r="M395" i="1"/>
  <c r="P395" i="1"/>
  <c r="J397" i="1"/>
  <c r="L397" i="1" l="1"/>
  <c r="O397" i="1"/>
  <c r="P396" i="1"/>
  <c r="M396" i="1"/>
  <c r="J398" i="1"/>
  <c r="L398" i="1" l="1"/>
  <c r="O398" i="1"/>
  <c r="P397" i="1"/>
  <c r="M397" i="1"/>
  <c r="J399" i="1"/>
  <c r="L399" i="1" l="1"/>
  <c r="P399" i="1" s="1"/>
  <c r="O399" i="1"/>
  <c r="P398" i="1"/>
  <c r="M398" i="1"/>
  <c r="J400" i="1"/>
  <c r="J401" i="1"/>
  <c r="O400" i="1" l="1"/>
  <c r="L400" i="1"/>
  <c r="M400" i="1" s="1"/>
  <c r="M399" i="1"/>
  <c r="L401" i="1"/>
  <c r="O401" i="1"/>
  <c r="J402" i="1"/>
  <c r="P400" i="1" l="1"/>
  <c r="L402" i="1"/>
  <c r="O402" i="1"/>
  <c r="M401" i="1"/>
  <c r="P401" i="1"/>
  <c r="J403" i="1"/>
  <c r="L403" i="1" l="1"/>
  <c r="O403" i="1"/>
  <c r="P402" i="1"/>
  <c r="M402" i="1"/>
  <c r="J404" i="1"/>
  <c r="L404" i="1" l="1"/>
  <c r="O404" i="1"/>
  <c r="P403" i="1"/>
  <c r="M403" i="1"/>
  <c r="J405" i="1"/>
  <c r="L405" i="1" l="1"/>
  <c r="O405" i="1"/>
  <c r="P404" i="1"/>
  <c r="M404" i="1"/>
  <c r="J406" i="1"/>
  <c r="L406" i="1" l="1"/>
  <c r="O406" i="1"/>
  <c r="M405" i="1"/>
  <c r="P405" i="1"/>
  <c r="J407" i="1"/>
  <c r="L407" i="1" l="1"/>
  <c r="P407" i="1" s="1"/>
  <c r="O407" i="1"/>
  <c r="M406" i="1"/>
  <c r="P406" i="1"/>
  <c r="M407" i="1" l="1"/>
</calcChain>
</file>

<file path=xl/sharedStrings.xml><?xml version="1.0" encoding="utf-8"?>
<sst xmlns="http://schemas.openxmlformats.org/spreadsheetml/2006/main" count="6093" uniqueCount="571">
  <si>
    <t>Table Accent Color</t>
  </si>
  <si>
    <t>tableAccent</t>
  </si>
  <si>
    <t>foreground</t>
  </si>
  <si>
    <t>background</t>
  </si>
  <si>
    <t>fontSize</t>
  </si>
  <si>
    <t>fontFamily</t>
  </si>
  <si>
    <t>slicer</t>
  </si>
  <si>
    <t>Header</t>
  </si>
  <si>
    <t>header</t>
  </si>
  <si>
    <t>barChart</t>
  </si>
  <si>
    <t>Bar Chart</t>
  </si>
  <si>
    <t>General</t>
  </si>
  <si>
    <t>Legend</t>
  </si>
  <si>
    <t>Position</t>
  </si>
  <si>
    <t>Title</t>
  </si>
  <si>
    <t>Color</t>
  </si>
  <si>
    <t>Text Size</t>
  </si>
  <si>
    <t>Font family</t>
  </si>
  <si>
    <t>Y-Axis</t>
  </si>
  <si>
    <t>Minimum category width</t>
  </si>
  <si>
    <t>Style</t>
  </si>
  <si>
    <t>Title color</t>
  </si>
  <si>
    <t>Title text size</t>
  </si>
  <si>
    <t>X-Axis</t>
  </si>
  <si>
    <t>Scale type</t>
  </si>
  <si>
    <t>Start</t>
  </si>
  <si>
    <t>End</t>
  </si>
  <si>
    <t>Display units</t>
  </si>
  <si>
    <t>Value decimal places</t>
  </si>
  <si>
    <t>Stroke width</t>
  </si>
  <si>
    <t>Line style</t>
  </si>
  <si>
    <t>Plot Area</t>
  </si>
  <si>
    <t>Transparency</t>
  </si>
  <si>
    <t>Font color</t>
  </si>
  <si>
    <t>Background color</t>
  </si>
  <si>
    <t>Background</t>
  </si>
  <si>
    <t>true</t>
  </si>
  <si>
    <t>false</t>
  </si>
  <si>
    <t>Top</t>
  </si>
  <si>
    <t>Bottom</t>
  </si>
  <si>
    <t>Left</t>
  </si>
  <si>
    <t>Right</t>
  </si>
  <si>
    <t>Arial</t>
  </si>
  <si>
    <t>Arial Black</t>
  </si>
  <si>
    <t>Arial Unicode MS</t>
  </si>
  <si>
    <t>Calibri</t>
  </si>
  <si>
    <t>Cambria</t>
  </si>
  <si>
    <t>Cambria Math</t>
  </si>
  <si>
    <t>Property</t>
  </si>
  <si>
    <t>Alphanumeric Entry</t>
  </si>
  <si>
    <t>Auto</t>
  </si>
  <si>
    <t>None</t>
  </si>
  <si>
    <t>position</t>
  </si>
  <si>
    <t>legend</t>
  </si>
  <si>
    <t>show</t>
  </si>
  <si>
    <t>categoryAxis</t>
  </si>
  <si>
    <t>general</t>
  </si>
  <si>
    <t>responsive</t>
  </si>
  <si>
    <t>labelColor</t>
  </si>
  <si>
    <t>card</t>
  </si>
  <si>
    <t>property</t>
  </si>
  <si>
    <t>type</t>
  </si>
  <si>
    <t>lookup</t>
  </si>
  <si>
    <t>showAxisTitle</t>
  </si>
  <si>
    <t>titleColor</t>
  </si>
  <si>
    <t>titleFontSize</t>
  </si>
  <si>
    <t>areaChart</t>
  </si>
  <si>
    <t>basicShape</t>
  </si>
  <si>
    <t>clusteredBarChart</t>
  </si>
  <si>
    <t>clusteredColumnChart</t>
  </si>
  <si>
    <t>columnChart</t>
  </si>
  <si>
    <t>comboChart</t>
  </si>
  <si>
    <t>donutChart</t>
  </si>
  <si>
    <t>filledMap</t>
  </si>
  <si>
    <t>funnel</t>
  </si>
  <si>
    <t>gauge</t>
  </si>
  <si>
    <t>hundredPercentStackedBarChart</t>
  </si>
  <si>
    <t>hundredPercentStackedColumnChart</t>
  </si>
  <si>
    <t>image</t>
  </si>
  <si>
    <t>kpi</t>
  </si>
  <si>
    <t>lineChart</t>
  </si>
  <si>
    <t>lineClusteredColumnComboChart</t>
  </si>
  <si>
    <t>lineStackedColumnComboChart</t>
  </si>
  <si>
    <t>map</t>
  </si>
  <si>
    <t>multiRowCard</t>
  </si>
  <si>
    <t>pieChart</t>
  </si>
  <si>
    <t>pivotTable</t>
  </si>
  <si>
    <t>ribbonChart</t>
  </si>
  <si>
    <t>scatterChart</t>
  </si>
  <si>
    <t>shapeMap</t>
  </si>
  <si>
    <t>stackedAreaChart</t>
  </si>
  <si>
    <t>tableEx</t>
  </si>
  <si>
    <t>treemap</t>
  </si>
  <si>
    <t>waterfallChart</t>
  </si>
  <si>
    <t>Visual Name</t>
  </si>
  <si>
    <t>axis</t>
  </si>
  <si>
    <t>breakdown</t>
  </si>
  <si>
    <t>bubbles</t>
  </si>
  <si>
    <t>calloutValue</t>
  </si>
  <si>
    <t>cardTitle</t>
  </si>
  <si>
    <t>categoryLabels</t>
  </si>
  <si>
    <t>columnFormatting</t>
  </si>
  <si>
    <t>columnHeaders</t>
  </si>
  <si>
    <t>dataLabels</t>
  </si>
  <si>
    <t>fill</t>
  </si>
  <si>
    <t>fillPoint</t>
  </si>
  <si>
    <t>forecast</t>
  </si>
  <si>
    <t>goals</t>
  </si>
  <si>
    <t>grid</t>
  </si>
  <si>
    <t>indicator</t>
  </si>
  <si>
    <t>items</t>
  </si>
  <si>
    <t>labels</t>
  </si>
  <si>
    <t>lineStyles</t>
  </si>
  <si>
    <t>mapControls</t>
  </si>
  <si>
    <t>mapStyles</t>
  </si>
  <si>
    <t>numericInputStyle</t>
  </si>
  <si>
    <t>percentBarLabel</t>
  </si>
  <si>
    <t>plotArea</t>
  </si>
  <si>
    <t>plotAreaShading</t>
  </si>
  <si>
    <t>ratioLine</t>
  </si>
  <si>
    <t>referenceLine</t>
  </si>
  <si>
    <t>rotation</t>
  </si>
  <si>
    <t>rowHeaders</t>
  </si>
  <si>
    <t>selection</t>
  </si>
  <si>
    <t>sentimentColors</t>
  </si>
  <si>
    <t>shape</t>
  </si>
  <si>
    <t>slider</t>
  </si>
  <si>
    <t>status</t>
  </si>
  <si>
    <t>subTotals</t>
  </si>
  <si>
    <t>target</t>
  </si>
  <si>
    <t>total</t>
  </si>
  <si>
    <t>trend</t>
  </si>
  <si>
    <t>trendline</t>
  </si>
  <si>
    <t>valueAxis</t>
  </si>
  <si>
    <t>values</t>
  </si>
  <si>
    <t>wordWrap</t>
  </si>
  <si>
    <t>xAxisReferenceLine</t>
  </si>
  <si>
    <t>zoom</t>
  </si>
  <si>
    <t>Gauge axis</t>
  </si>
  <si>
    <t>Breakdown</t>
  </si>
  <si>
    <t>Bubbles</t>
  </si>
  <si>
    <t>Callout Value</t>
  </si>
  <si>
    <t>Card</t>
  </si>
  <si>
    <t>Card Title</t>
  </si>
  <si>
    <t>Category labels</t>
  </si>
  <si>
    <t>Field formatting</t>
  </si>
  <si>
    <t>Column headers</t>
  </si>
  <si>
    <t>Data labels</t>
  </si>
  <si>
    <t>Fill</t>
  </si>
  <si>
    <t>Fill point</t>
  </si>
  <si>
    <t>Forecast</t>
  </si>
  <si>
    <t>Goals</t>
  </si>
  <si>
    <t>Grid</t>
  </si>
  <si>
    <t>Indicator</t>
  </si>
  <si>
    <t>Items</t>
  </si>
  <si>
    <t>Shapes</t>
  </si>
  <si>
    <t>Map controls</t>
  </si>
  <si>
    <t>Map styles</t>
  </si>
  <si>
    <t>Numeric inputs</t>
  </si>
  <si>
    <t>Conversion Rate Label</t>
  </si>
  <si>
    <t>Symmetry shading</t>
  </si>
  <si>
    <t>Ratio line</t>
  </si>
  <si>
    <t>Constant Line</t>
  </si>
  <si>
    <t>Rotation</t>
  </si>
  <si>
    <t>Row headers</t>
  </si>
  <si>
    <t>Selection Controls</t>
  </si>
  <si>
    <t>Sentiment colors</t>
  </si>
  <si>
    <t>Shape</t>
  </si>
  <si>
    <t>Slider</t>
  </si>
  <si>
    <t>Color coding</t>
  </si>
  <si>
    <t>Subtotals</t>
  </si>
  <si>
    <t>Target</t>
  </si>
  <si>
    <t>Grand total</t>
  </si>
  <si>
    <t>Trend Line</t>
  </si>
  <si>
    <t>Trend axis</t>
  </si>
  <si>
    <t>Values</t>
  </si>
  <si>
    <t>Word wrap</t>
  </si>
  <si>
    <t>X-Axis Constant Line</t>
  </si>
  <si>
    <t>Zoom</t>
  </si>
  <si>
    <t>Visual</t>
  </si>
  <si>
    <t>visual</t>
  </si>
  <si>
    <t>Area Chart</t>
  </si>
  <si>
    <t>Basic Shape</t>
  </si>
  <si>
    <t xml:space="preserve">Card </t>
  </si>
  <si>
    <t>Clustered Chart</t>
  </si>
  <si>
    <t>Column Chart</t>
  </si>
  <si>
    <t>Combo Chart</t>
  </si>
  <si>
    <t>Donut Chart</t>
  </si>
  <si>
    <t>Filled Map</t>
  </si>
  <si>
    <t>Funnel el</t>
  </si>
  <si>
    <t>Hundred Chart</t>
  </si>
  <si>
    <t xml:space="preserve">Kpi </t>
  </si>
  <si>
    <t>Line Chart</t>
  </si>
  <si>
    <t xml:space="preserve">Map </t>
  </si>
  <si>
    <t>Multi Card</t>
  </si>
  <si>
    <t>Pie Chart</t>
  </si>
  <si>
    <t>Pivot Table</t>
  </si>
  <si>
    <t>Ribbon Chart</t>
  </si>
  <si>
    <t>Scatter Chart</t>
  </si>
  <si>
    <t>Shape Map</t>
  </si>
  <si>
    <t>Stacked Chart</t>
  </si>
  <si>
    <t>Table Ex</t>
  </si>
  <si>
    <t>Treemap map</t>
  </si>
  <si>
    <t>Waterfall Chart</t>
  </si>
  <si>
    <t>Foreground Color</t>
  </si>
  <si>
    <t>Font Color</t>
  </si>
  <si>
    <t>Background Color</t>
  </si>
  <si>
    <t>end</t>
  </si>
  <si>
    <t>transparency</t>
  </si>
  <si>
    <t>cardBackground</t>
  </si>
  <si>
    <t>c</t>
  </si>
  <si>
    <t>fontColor</t>
  </si>
  <si>
    <t>axisScale</t>
  </si>
  <si>
    <t>Show</t>
  </si>
  <si>
    <t>labelDisplayUnits</t>
  </si>
  <si>
    <t>axisStyle</t>
  </si>
  <si>
    <t>dataLabelHorizontalPosition</t>
  </si>
  <si>
    <t>dataLabelVerticalPosition</t>
  </si>
  <si>
    <t>labelOrientation</t>
  </si>
  <si>
    <t>labelPosition</t>
  </si>
  <si>
    <t>labelStyle</t>
  </si>
  <si>
    <t>value</t>
  </si>
  <si>
    <t>displayName</t>
  </si>
  <si>
    <t>axisType</t>
  </si>
  <si>
    <t>Categorical</t>
  </si>
  <si>
    <t>secPosition</t>
  </si>
  <si>
    <t>secAxisScale</t>
  </si>
  <si>
    <t>secAxisStyle</t>
  </si>
  <si>
    <t>strokeLineJoin</t>
  </si>
  <si>
    <t>lineStyle</t>
  </si>
  <si>
    <t>markerShape</t>
  </si>
  <si>
    <t>style</t>
  </si>
  <si>
    <t>Value</t>
  </si>
  <si>
    <t>Name</t>
  </si>
  <si>
    <t>Category</t>
  </si>
  <si>
    <t>Data</t>
  </si>
  <si>
    <t>outline</t>
  </si>
  <si>
    <t>right</t>
  </si>
  <si>
    <t>Frame</t>
  </si>
  <si>
    <t>confidenceBandStyle</t>
  </si>
  <si>
    <t>mapTheme</t>
  </si>
  <si>
    <t>projectionEnum</t>
  </si>
  <si>
    <t>direction</t>
  </si>
  <si>
    <t>TopCenter</t>
  </si>
  <si>
    <t>BottomCenter</t>
  </si>
  <si>
    <t>LeftCenter</t>
  </si>
  <si>
    <t>RightCenter</t>
  </si>
  <si>
    <t>linear</t>
  </si>
  <si>
    <t>log</t>
  </si>
  <si>
    <t>Scalar</t>
  </si>
  <si>
    <t>showTitleOnly</t>
  </si>
  <si>
    <t>showUnitOnly</t>
  </si>
  <si>
    <t>showBoth</t>
  </si>
  <si>
    <t>dashed</t>
  </si>
  <si>
    <t>solid</t>
  </si>
  <si>
    <t>dotted</t>
  </si>
  <si>
    <t>miter</t>
  </si>
  <si>
    <t>round</t>
  </si>
  <si>
    <t>bevel</t>
  </si>
  <si>
    <t>circle</t>
  </si>
  <si>
    <t>square</t>
  </si>
  <si>
    <t>diamond</t>
  </si>
  <si>
    <t>triangle</t>
  </si>
  <si>
    <t>x</t>
  </si>
  <si>
    <t>shortDash</t>
  </si>
  <si>
    <t>longDash</t>
  </si>
  <si>
    <t>plus</t>
  </si>
  <si>
    <t>back</t>
  </si>
  <si>
    <t>front</t>
  </si>
  <si>
    <t>left</t>
  </si>
  <si>
    <t>above</t>
  </si>
  <si>
    <t>under</t>
  </si>
  <si>
    <t>vertical</t>
  </si>
  <si>
    <t>horizontal</t>
  </si>
  <si>
    <t>InsideEnd</t>
  </si>
  <si>
    <t>OutsideEnd</t>
  </si>
  <si>
    <t>InsideCenter</t>
  </si>
  <si>
    <t>InsideBase</t>
  </si>
  <si>
    <t>Percentoftotal</t>
  </si>
  <si>
    <t>Both</t>
  </si>
  <si>
    <t>Categorypercentoftotal</t>
  </si>
  <si>
    <t>Datavaluepercentoftotal</t>
  </si>
  <si>
    <t>Categorydatavaluepercentoftotal</t>
  </si>
  <si>
    <t>BottomOnly</t>
  </si>
  <si>
    <t>TopOnly</t>
  </si>
  <si>
    <t>LeftOnly</t>
  </si>
  <si>
    <t>RightOnly</t>
  </si>
  <si>
    <t>TopBottom</t>
  </si>
  <si>
    <t>LeftRight</t>
  </si>
  <si>
    <t>line</t>
  </si>
  <si>
    <t>none</t>
  </si>
  <si>
    <t>aerial</t>
  </si>
  <si>
    <t>canvasDark</t>
  </si>
  <si>
    <t>canvasLight</t>
  </si>
  <si>
    <t>grayscale</t>
  </si>
  <si>
    <t>road</t>
  </si>
  <si>
    <t>albersUsa</t>
  </si>
  <si>
    <t>equirectangular</t>
  </si>
  <si>
    <t>mercator</t>
  </si>
  <si>
    <t>orthographic</t>
  </si>
  <si>
    <t>Positive</t>
  </si>
  <si>
    <t>Negative</t>
  </si>
  <si>
    <t/>
  </si>
  <si>
    <t>selection type</t>
  </si>
  <si>
    <t>bool</t>
  </si>
  <si>
    <t>enumeration</t>
  </si>
  <si>
    <t>showTitle</t>
  </si>
  <si>
    <t>formatting</t>
  </si>
  <si>
    <t>Size</t>
  </si>
  <si>
    <t>start</t>
  </si>
  <si>
    <t>numeric</t>
  </si>
  <si>
    <t>Type</t>
  </si>
  <si>
    <t>labelPrecision</t>
  </si>
  <si>
    <t>concatenateLabels</t>
  </si>
  <si>
    <t>preferredCategoryWidth</t>
  </si>
  <si>
    <t>color</t>
  </si>
  <si>
    <t>titleFontFamily</t>
  </si>
  <si>
    <t>text</t>
  </si>
  <si>
    <t>axisLabel</t>
  </si>
  <si>
    <t>secShow</t>
  </si>
  <si>
    <t>alignZeros</t>
  </si>
  <si>
    <t>secAxisLabel</t>
  </si>
  <si>
    <t>secStart</t>
  </si>
  <si>
    <t>secEnd</t>
  </si>
  <si>
    <t>secShowAxisTitle</t>
  </si>
  <si>
    <t>secLabelColor</t>
  </si>
  <si>
    <t>secFontFamily</t>
  </si>
  <si>
    <t>secFontSize</t>
  </si>
  <si>
    <t>secLabelDisplayUnits</t>
  </si>
  <si>
    <t>secLabelPrecision</t>
  </si>
  <si>
    <t>secTitleColor</t>
  </si>
  <si>
    <t>secTitleFontFamily</t>
  </si>
  <si>
    <t>secTitleFontSize</t>
  </si>
  <si>
    <t>dataPoint</t>
  </si>
  <si>
    <t>defaultColor</t>
  </si>
  <si>
    <t>defaultCategoryColor</t>
  </si>
  <si>
    <t>showAllDataPoints</t>
  </si>
  <si>
    <t>showSeries</t>
  </si>
  <si>
    <t>showAll</t>
  </si>
  <si>
    <t>labelDensity</t>
  </si>
  <si>
    <t>Orientation</t>
  </si>
  <si>
    <t>percentageLabelPrecision</t>
  </si>
  <si>
    <t>strokeWidth</t>
  </si>
  <si>
    <t>showMarker</t>
  </si>
  <si>
    <t>markerSize</t>
  </si>
  <si>
    <t>markerColor</t>
  </si>
  <si>
    <t>shadeArea</t>
  </si>
  <si>
    <t>lineColor</t>
  </si>
  <si>
    <t>combineSeries</t>
  </si>
  <si>
    <t>dataLabelShow</t>
  </si>
  <si>
    <t>dataLabelColor</t>
  </si>
  <si>
    <t>dataLabelDecimalPoints</t>
  </si>
  <si>
    <t>dataLabelDisplayUnits</t>
  </si>
  <si>
    <t>weight</t>
  </si>
  <si>
    <t>Weight</t>
  </si>
  <si>
    <t>roundEdge</t>
  </si>
  <si>
    <t>fillColor</t>
  </si>
  <si>
    <t>angle</t>
  </si>
  <si>
    <t>Outline</t>
  </si>
  <si>
    <t>outlineColor</t>
  </si>
  <si>
    <t>outlineWeight</t>
  </si>
  <si>
    <t>barShow</t>
  </si>
  <si>
    <t>barColor</t>
  </si>
  <si>
    <t>barWeight</t>
  </si>
  <si>
    <t>cardPadding</t>
  </si>
  <si>
    <t>Padding</t>
  </si>
  <si>
    <t>min</t>
  </si>
  <si>
    <t>Min</t>
  </si>
  <si>
    <t>max</t>
  </si>
  <si>
    <t>Max</t>
  </si>
  <si>
    <t>bubbleSize</t>
  </si>
  <si>
    <t>autoZoom</t>
  </si>
  <si>
    <t>Theme</t>
  </si>
  <si>
    <t>Projection</t>
  </si>
  <si>
    <t>selectionZoom</t>
  </si>
  <si>
    <t>manualZoom</t>
  </si>
  <si>
    <t>colorByCategory</t>
  </si>
  <si>
    <t>upperShadingColor</t>
  </si>
  <si>
    <t>lowerShadingColor</t>
  </si>
  <si>
    <t>gridVertical</t>
  </si>
  <si>
    <t>gridVerticalColor</t>
  </si>
  <si>
    <t>gridVerticalWeight</t>
  </si>
  <si>
    <t>gridHorizontal</t>
  </si>
  <si>
    <t>gridHorizontalColor</t>
  </si>
  <si>
    <t>gridHorizontalWeight</t>
  </si>
  <si>
    <t>rowPadding</t>
  </si>
  <si>
    <t>imageHeight</t>
  </si>
  <si>
    <t>Image</t>
  </si>
  <si>
    <t>textSize</t>
  </si>
  <si>
    <t>backColor</t>
  </si>
  <si>
    <t>autoSizeColumnWidth</t>
  </si>
  <si>
    <t>urlIcon</t>
  </si>
  <si>
    <t>fontColorPrimary</t>
  </si>
  <si>
    <t>backColorPrimary</t>
  </si>
  <si>
    <t>fontColorSecondary</t>
  </si>
  <si>
    <t>backColorSecondary</t>
  </si>
  <si>
    <t>bandedRowHeaders</t>
  </si>
  <si>
    <t>valuesOnRow</t>
  </si>
  <si>
    <t>applyToHeaders</t>
  </si>
  <si>
    <t>totals</t>
  </si>
  <si>
    <t>Totals</t>
  </si>
  <si>
    <t>styleHeader</t>
  </si>
  <si>
    <t>styleValues</t>
  </si>
  <si>
    <t>styleTotal</t>
  </si>
  <si>
    <t>styleSubtotals</t>
  </si>
  <si>
    <t>stepped</t>
  </si>
  <si>
    <t>steppedLayoutIndentation</t>
  </si>
  <si>
    <t>rowSubtotals</t>
  </si>
  <si>
    <t>Total</t>
  </si>
  <si>
    <t>columnSubtotals</t>
  </si>
  <si>
    <t>selectAllCheckboxEnabled</t>
  </si>
  <si>
    <t>singleSelect</t>
  </si>
  <si>
    <t>dateRange</t>
  </si>
  <si>
    <t>includeToday</t>
  </si>
  <si>
    <t>increaseFill</t>
  </si>
  <si>
    <t>Increase</t>
  </si>
  <si>
    <t>decreaseFill</t>
  </si>
  <si>
    <t>Decrease</t>
  </si>
  <si>
    <t>totalFill</t>
  </si>
  <si>
    <t>otherFill</t>
  </si>
  <si>
    <t>Other</t>
  </si>
  <si>
    <t>maxBreakdowns</t>
  </si>
  <si>
    <t>integer</t>
  </si>
  <si>
    <t>indicatorDisplayUnits</t>
  </si>
  <si>
    <t>indicatorPrecision</t>
  </si>
  <si>
    <t>kpiFormat</t>
  </si>
  <si>
    <t>Format</t>
  </si>
  <si>
    <t>showGoal</t>
  </si>
  <si>
    <t>Goal</t>
  </si>
  <si>
    <t>showDistance</t>
  </si>
  <si>
    <t>Distance</t>
  </si>
  <si>
    <t>Direction</t>
  </si>
  <si>
    <t>goodColor</t>
  </si>
  <si>
    <t>neutralColor</t>
  </si>
  <si>
    <t>badColor</t>
  </si>
  <si>
    <t>(Preview) Responsive</t>
  </si>
  <si>
    <t>Concatenate labels</t>
  </si>
  <si>
    <t>Y-Axis (Column)</t>
  </si>
  <si>
    <t>Show secondary</t>
  </si>
  <si>
    <t>Align zeros</t>
  </si>
  <si>
    <t>Y-Axis (Line)</t>
  </si>
  <si>
    <t>Default color</t>
  </si>
  <si>
    <t>Show all</t>
  </si>
  <si>
    <t>Customize series</t>
  </si>
  <si>
    <t>Label density</t>
  </si>
  <si>
    <t>% decimal places</t>
  </si>
  <si>
    <t>Label style</t>
  </si>
  <si>
    <t>Join type</t>
  </si>
  <si>
    <t>Show marker</t>
  </si>
  <si>
    <t>Marker shape</t>
  </si>
  <si>
    <t>Marker size</t>
  </si>
  <si>
    <t>Marker color</t>
  </si>
  <si>
    <t>Shade area</t>
  </si>
  <si>
    <t>Combine Series</t>
  </si>
  <si>
    <t>Data label</t>
  </si>
  <si>
    <t>Decimal Places</t>
  </si>
  <si>
    <t>Horizontal Position</t>
  </si>
  <si>
    <t>Vertical Position</t>
  </si>
  <si>
    <t>Line color</t>
  </si>
  <si>
    <t>Round edges</t>
  </si>
  <si>
    <t>Fill color</t>
  </si>
  <si>
    <t>Outline color</t>
  </si>
  <si>
    <t>Outline weight</t>
  </si>
  <si>
    <t>Show bar</t>
  </si>
  <si>
    <t>Bar color</t>
  </si>
  <si>
    <t>Bar thickness</t>
  </si>
  <si>
    <t>Confidence band style</t>
  </si>
  <si>
    <t>Auto zoom</t>
  </si>
  <si>
    <t>Selection zoom</t>
  </si>
  <si>
    <t>Manual zoom</t>
  </si>
  <si>
    <t>Upper shading</t>
  </si>
  <si>
    <t>Lower shading</t>
  </si>
  <si>
    <t>Vert grid</t>
  </si>
  <si>
    <t>Vert grid color</t>
  </si>
  <si>
    <t>Vert grid thickness</t>
  </si>
  <si>
    <t>Horiz grid</t>
  </si>
  <si>
    <t>Horiz grid color</t>
  </si>
  <si>
    <t>Horiz grid thickness</t>
  </si>
  <si>
    <t>Row padding</t>
  </si>
  <si>
    <t>Image height</t>
  </si>
  <si>
    <t>Auto-size column width</t>
  </si>
  <si>
    <t>URL icon</t>
  </si>
  <si>
    <t>Color scales</t>
  </si>
  <si>
    <t>Alternate font color</t>
  </si>
  <si>
    <t>Alternate background color</t>
  </si>
  <si>
    <t>Banded row style</t>
  </si>
  <si>
    <t>Show on rows</t>
  </si>
  <si>
    <t>Apply to labels</t>
  </si>
  <si>
    <t>Color header</t>
  </si>
  <si>
    <t>Color values</t>
  </si>
  <si>
    <t>Color total</t>
  </si>
  <si>
    <t>Color subtotals</t>
  </si>
  <si>
    <t>Stepped layout</t>
  </si>
  <si>
    <t>Stepped layout indentation</t>
  </si>
  <si>
    <t>Total row</t>
  </si>
  <si>
    <t>Total column</t>
  </si>
  <si>
    <t>Select All</t>
  </si>
  <si>
    <t>Single Select</t>
  </si>
  <si>
    <t>Include today</t>
  </si>
  <si>
    <t>Max breakdowns</t>
  </si>
  <si>
    <t>Good Color</t>
  </si>
  <si>
    <t>Neutral Color</t>
  </si>
  <si>
    <t>Bad Color</t>
  </si>
  <si>
    <t>property|type</t>
  </si>
  <si>
    <t>Options ------&gt;</t>
  </si>
  <si>
    <t>Gauge</t>
  </si>
  <si>
    <t>Slicer</t>
  </si>
  <si>
    <t>Theme Defaults</t>
  </si>
  <si>
    <t>Card Name</t>
  </si>
  <si>
    <t>Candara</t>
  </si>
  <si>
    <t>Comic Sans MS</t>
  </si>
  <si>
    <t>Consolas</t>
  </si>
  <si>
    <t>Constantia</t>
  </si>
  <si>
    <t>Corbel</t>
  </si>
  <si>
    <t>Courier New</t>
  </si>
  <si>
    <t>Georgia</t>
  </si>
  <si>
    <t>Lucida Sans Unicode</t>
  </si>
  <si>
    <t>Segoe (Bold)</t>
  </si>
  <si>
    <t>Segoe UI</t>
  </si>
  <si>
    <t>Segoe UI Light</t>
  </si>
  <si>
    <t>Symbol</t>
  </si>
  <si>
    <t>Tahoma</t>
  </si>
  <si>
    <t>Times New Roman</t>
  </si>
  <si>
    <t>Trebuchet MS</t>
  </si>
  <si>
    <t>Verdana</t>
  </si>
  <si>
    <t>column</t>
  </si>
  <si>
    <t>This file is a work in process and is not guaranteed to work but is expected to provide at minimum a jumpstart on JSON files particularly for those with less JSON experience.</t>
  </si>
  <si>
    <t>Suggestions are welcome at ctappan@hopeinternational.org.</t>
  </si>
  <si>
    <t>{</t>
  </si>
  <si>
    <t>}</t>
  </si>
  <si>
    <t>Visual-Level Settings</t>
  </si>
  <si>
    <t>Value Selection</t>
  </si>
  <si>
    <t>General Setting / Visual Card</t>
  </si>
  <si>
    <t>Users should simply use the Design tab, selecting values in white cells as desired. If you have entered data in a gray cell, the JSON will likely fail. Once the desired settings are in place, click on the "Create .json file" button. If you want your JSON to be formatted more cleanly, you can use a site like https://jsonformatter.curiousconcept.com/ to beautify it.</t>
  </si>
  <si>
    <t>}}}}}}}}}}}}}}}}}}}}}}</t>
  </si>
  <si>
    <t>}]</t>
  </si>
  <si>
    <t>Validation List Ref for Values</t>
  </si>
  <si>
    <t>Validation List for Elements</t>
  </si>
  <si>
    <t>open count</t>
  </si>
  <si>
    <t>close count</t>
  </si>
  <si>
    <t>combine</t>
  </si>
  <si>
    <t>first level</t>
  </si>
  <si>
    <t>second level</t>
  </si>
  <si>
    <t>third level</t>
  </si>
  <si>
    <t>Current General Setting / Card</t>
  </si>
  <si>
    <t>Current Property</t>
  </si>
  <si>
    <t>#FFFFFF</t>
  </si>
  <si>
    <t>Use rows 58-400 to set properties within specified Visuals. The names of Visuals, Visual Cards, and Property values will match format selectors in Power BI. Select values for the white cells as desired and leave the light gray values blank.</t>
  </si>
  <si>
    <t>If the Value Selection cell is white, it is recommended to use one of the options provided. If you want to enter a custom value, enter it in the Alphanumeric Entry column.</t>
  </si>
  <si>
    <t>The "Get hexcodes" and "Create .json file" functionality were borrowed with permission from a freely-available theme generator created by Dominik Petri.    
                       www.petri-software.de
                       www.linkedin.com/pub/dominik-petri/91/3aa/b71
                       www.facebook.com/petrisoftware/
                       www.twitter.com/petrisoftware
                       www.xing.com/profile/Dominik_Petri2</t>
  </si>
  <si>
    <t>Notes</t>
  </si>
  <si>
    <t>This file makes theme creation possible without studying the documentation or manually creating it in JSON, and simplifies the process by providing dropdown selectors with settings in Power BI documentation. The assumed use of this file is not to set every property but rather to consider properties frequently changed in visuals that would be preferred as a global setting within a project.</t>
  </si>
  <si>
    <t>R</t>
  </si>
  <si>
    <t>G</t>
  </si>
  <si>
    <t>B</t>
  </si>
  <si>
    <t>Select a theme from Page Layout &gt; Themes and click "Get Excel Theme Hexcodes". Or, just enter your own hexcodes.</t>
  </si>
  <si>
    <t>Use rows 17-22 to set global color and font settings. Use rows 23-56 to set global settings for visual properties. The values used for "General Settings" will match the names of properties within Power BI. Select values for the white cells as desired and leave the light gray values blank. Visual-level settings begin on row 57.</t>
  </si>
  <si>
    <t>20</t>
  </si>
  <si>
    <t>My New Theme</t>
  </si>
  <si>
    <t>#000000</t>
  </si>
  <si>
    <t>#44546A</t>
  </si>
  <si>
    <t>#E7E6E6</t>
  </si>
  <si>
    <t>#4472C4</t>
  </si>
  <si>
    <t>#ED7D31</t>
  </si>
  <si>
    <t>#A5A5A5</t>
  </si>
  <si>
    <t>#FFC000</t>
  </si>
  <si>
    <t>#5B9BD5</t>
  </si>
  <si>
    <t>#70AD47</t>
  </si>
  <si>
    <t>#0563C1</t>
  </si>
  <si>
    <t>#954F72</t>
  </si>
  <si>
    <t>Power BI uses JSON files to set themes for reports and dashboards. This functionality was released by Microsoft in Q3 2017 and appeared to still be in development at that time (see http://community.powerbi.com/t5/Desktop/Custom-Report-Theme-JSON-Property-settings-in-Tables-Matrix/m-p/288181#M126781). General documentation is here: https://powerbi.microsoft.com/en-us/documentation/powerbi-desktop-report-themes/#report-theme-json-file-format.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</si>
</sst>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name val="Calibri"/>
      <family val="2"/>
      <scheme val="minor"/>
    </font>
    <font>
      <b/>
      <sz val="11"/>
      <name val="Calibri"/>
      <family val="2"/>
      <scheme val="minor"/>
    </font>
    <font>
      <sz val="14"/>
      <color theme="0"/>
      <name val="Calibri"/>
      <family val="2"/>
      <scheme val="minor"/>
    </font>
    <font>
      <sz val="16"/>
      <name val="Calibri"/>
      <family val="2"/>
      <scheme val="minor"/>
    </font>
    <font>
      <sz val="11"/>
      <color theme="0" tint="-0.499984740745262"/>
      <name val="Calibri"/>
      <family val="2"/>
      <scheme val="minor"/>
    </font>
    <font>
      <b/>
      <sz val="11"/>
      <color theme="0" tint="-0.499984740745262"/>
      <name val="Calibri"/>
      <family val="2"/>
      <scheme val="minor"/>
    </font>
    <font>
      <sz val="9"/>
      <color theme="0"/>
      <name val="Calibri"/>
      <family val="2"/>
      <scheme val="minor"/>
    </font>
    <font>
      <sz val="9"/>
      <name val="Calibri"/>
      <family val="2"/>
      <scheme val="minor"/>
    </font>
    <font>
      <sz val="10"/>
      <color theme="1"/>
      <name val="Calibri"/>
      <family val="2"/>
      <scheme val="minor"/>
    </font>
    <font>
      <sz val="10"/>
      <name val="Calibri"/>
      <family val="2"/>
      <scheme val="minor"/>
    </font>
    <font>
      <u/>
      <sz val="11"/>
      <color theme="10"/>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theme="0" tint="-0.2499465926084170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theme="0" tint="-0.14999847407452621"/>
        <bgColor theme="4"/>
      </patternFill>
    </fill>
    <fill>
      <patternFill patternType="solid">
        <fgColor theme="0" tint="-0.14999847407452621"/>
        <bgColor theme="4" tint="0.79998168889431442"/>
      </patternFill>
    </fill>
    <fill>
      <patternFill patternType="solid">
        <fgColor rgb="FFFFFFFF"/>
        <bgColor theme="4" tint="0.79998168889431442"/>
      </patternFill>
    </fill>
    <fill>
      <patternFill patternType="solid">
        <fgColor rgb="FFFFFFFF"/>
        <bgColor indexed="64"/>
      </patternFill>
    </fill>
    <fill>
      <patternFill patternType="solid">
        <fgColor theme="0" tint="-0.249977111117893"/>
        <bgColor theme="4" tint="0.79998168889431442"/>
      </patternFill>
    </fill>
    <fill>
      <patternFill patternType="solid">
        <fgColor rgb="FFED7D31"/>
        <bgColor theme="4" tint="0.79998168889431442"/>
      </patternFill>
    </fill>
    <fill>
      <patternFill patternType="solid">
        <fgColor rgb="FF70AD47"/>
        <bgColor theme="4" tint="0.79998168889431442"/>
      </patternFill>
    </fill>
    <fill>
      <patternFill patternType="solid">
        <fgColor rgb="FFFFC000"/>
        <bgColor theme="4" tint="0.79998168889431442"/>
      </patternFill>
    </fill>
    <fill>
      <patternFill patternType="solid">
        <fgColor rgb="FF000000"/>
        <bgColor indexed="64"/>
      </patternFill>
    </fill>
    <fill>
      <patternFill patternType="solid">
        <fgColor rgb="FF44546A"/>
        <bgColor indexed="64"/>
      </patternFill>
    </fill>
    <fill>
      <patternFill patternType="solid">
        <fgColor rgb="FFE7E6E6"/>
        <bgColor indexed="64"/>
      </patternFill>
    </fill>
    <fill>
      <patternFill patternType="solid">
        <fgColor rgb="FF4472C4"/>
        <bgColor indexed="64"/>
      </patternFill>
    </fill>
    <fill>
      <patternFill patternType="solid">
        <fgColor rgb="FFED7D31"/>
        <bgColor indexed="64"/>
      </patternFill>
    </fill>
    <fill>
      <patternFill patternType="solid">
        <fgColor rgb="FFA5A5A5"/>
        <bgColor indexed="64"/>
      </patternFill>
    </fill>
    <fill>
      <patternFill patternType="solid">
        <fgColor rgb="FFFFC000"/>
        <bgColor indexed="64"/>
      </patternFill>
    </fill>
    <fill>
      <patternFill patternType="solid">
        <fgColor rgb="FF5B9BD5"/>
        <bgColor indexed="64"/>
      </patternFill>
    </fill>
    <fill>
      <patternFill patternType="solid">
        <fgColor rgb="FF70AD47"/>
        <bgColor indexed="64"/>
      </patternFill>
    </fill>
    <fill>
      <patternFill patternType="solid">
        <fgColor rgb="FF0563C1"/>
        <bgColor indexed="64"/>
      </patternFill>
    </fill>
    <fill>
      <patternFill patternType="solid">
        <fgColor rgb="FF954F72"/>
        <bgColor indexed="64"/>
      </patternFill>
    </fill>
    <fill>
      <patternFill patternType="solid">
        <fgColor rgb="FF5B9BD5"/>
        <bgColor theme="4" tint="0.79998168889431442"/>
      </patternFill>
    </fill>
    <fill>
      <patternFill patternType="solid">
        <fgColor rgb="FF44546A"/>
        <bgColor theme="4" tint="0.79998168889431442"/>
      </patternFill>
    </fill>
  </fills>
  <borders count="3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bottom/>
      <diagonal/>
    </border>
    <border>
      <left/>
      <right/>
      <top style="medium">
        <color indexed="64"/>
      </top>
      <bottom style="medium">
        <color indexed="64"/>
      </bottom>
      <diagonal/>
    </border>
    <border>
      <left/>
      <right style="thin">
        <color indexed="64"/>
      </right>
      <top/>
      <bottom/>
      <diagonal/>
    </border>
    <border>
      <left/>
      <right/>
      <top/>
      <bottom style="thick">
        <color auto="1"/>
      </bottom>
      <diagonal/>
    </border>
    <border>
      <left style="thin">
        <color indexed="64"/>
      </left>
      <right style="thin">
        <color indexed="64"/>
      </right>
      <top style="thin">
        <color indexed="64"/>
      </top>
      <bottom style="medium">
        <color auto="1"/>
      </bottom>
      <diagonal/>
    </border>
    <border>
      <left style="thin">
        <color indexed="64"/>
      </left>
      <right style="thin">
        <color indexed="64"/>
      </right>
      <top style="medium">
        <color auto="1"/>
      </top>
      <bottom style="thin">
        <color indexed="64"/>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top/>
      <bottom style="thick">
        <color indexed="64"/>
      </bottom>
      <diagonal/>
    </border>
    <border>
      <left style="thin">
        <color indexed="64"/>
      </left>
      <right style="thin">
        <color indexed="64"/>
      </right>
      <top/>
      <bottom style="thick">
        <color indexed="64"/>
      </bottom>
      <diagonal/>
    </border>
    <border>
      <left style="thin">
        <color indexed="64"/>
      </left>
      <right/>
      <top/>
      <bottom/>
      <diagonal/>
    </border>
    <border>
      <left style="medium">
        <color auto="1"/>
      </left>
      <right/>
      <top/>
      <bottom/>
      <diagonal/>
    </border>
    <border>
      <left/>
      <right style="thin">
        <color indexed="64"/>
      </right>
      <top style="thin">
        <color indexed="64"/>
      </top>
      <bottom style="thin">
        <color indexed="64"/>
      </bottom>
      <diagonal/>
    </border>
    <border>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thick">
        <color auto="1"/>
      </top>
      <bottom style="thin">
        <color indexed="64"/>
      </bottom>
      <diagonal/>
    </border>
    <border>
      <left style="thin">
        <color indexed="64"/>
      </left>
      <right style="thin">
        <color indexed="64"/>
      </right>
      <top style="thin">
        <color indexed="64"/>
      </top>
      <bottom/>
      <diagonal/>
    </border>
    <border>
      <left style="thin">
        <color indexed="64"/>
      </left>
      <right/>
      <top style="thick">
        <color indexed="64"/>
      </top>
      <bottom style="thin">
        <color indexed="64"/>
      </bottom>
      <diagonal/>
    </border>
  </borders>
  <cellStyleXfs count="2">
    <xf numFmtId="0" fontId="0" fillId="0" borderId="0"/>
    <xf numFmtId="0" fontId="11" fillId="0" borderId="0" applyNumberFormat="0" applyFill="0" applyBorder="0" applyAlignment="0" applyProtection="0"/>
  </cellStyleXfs>
  <cellXfs count="146">
    <xf numFmtId="0" fontId="0" fillId="0" borderId="0" xfId="0"/>
    <xf numFmtId="49" fontId="1" fillId="3" borderId="1" xfId="0" applyNumberFormat="1" applyFont="1" applyFill="1" applyBorder="1" applyAlignment="1" applyProtection="1">
      <alignment horizontal="center" vertical="center" wrapText="1"/>
      <protection locked="0"/>
    </xf>
    <xf numFmtId="0" fontId="2" fillId="7" borderId="0" xfId="0" applyNumberFormat="1" applyFont="1" applyFill="1" applyBorder="1" applyAlignment="1" applyProtection="1">
      <alignment horizontal="center" vertical="center"/>
    </xf>
    <xf numFmtId="49" fontId="2" fillId="2" borderId="0" xfId="0" applyNumberFormat="1" applyFont="1" applyFill="1" applyBorder="1" applyAlignment="1" applyProtection="1">
      <alignment horizontal="center" vertical="center" wrapText="1"/>
    </xf>
    <xf numFmtId="49" fontId="1" fillId="2" borderId="0" xfId="0" applyNumberFormat="1" applyFont="1" applyFill="1" applyBorder="1" applyAlignment="1" applyProtection="1">
      <alignment horizontal="center" vertical="center" wrapText="1"/>
    </xf>
    <xf numFmtId="0" fontId="1" fillId="7" borderId="0" xfId="0" applyNumberFormat="1" applyFont="1" applyFill="1" applyBorder="1" applyAlignment="1" applyProtection="1">
      <alignment vertical="center"/>
    </xf>
    <xf numFmtId="49" fontId="1" fillId="2" borderId="0" xfId="0" applyNumberFormat="1" applyFont="1" applyFill="1" applyBorder="1" applyAlignment="1" applyProtection="1">
      <alignment vertical="center"/>
    </xf>
    <xf numFmtId="49" fontId="1" fillId="8" borderId="2" xfId="0" applyNumberFormat="1" applyFont="1" applyFill="1" applyBorder="1" applyAlignment="1" applyProtection="1">
      <alignment horizontal="center" vertical="center" wrapText="1"/>
    </xf>
    <xf numFmtId="49" fontId="1" fillId="8" borderId="3" xfId="0" applyNumberFormat="1" applyFont="1" applyFill="1" applyBorder="1" applyAlignment="1" applyProtection="1">
      <alignment horizontal="center" vertical="center" wrapText="1"/>
    </xf>
    <xf numFmtId="49" fontId="1" fillId="8" borderId="10" xfId="0" applyNumberFormat="1" applyFont="1" applyFill="1" applyBorder="1" applyAlignment="1" applyProtection="1">
      <alignment horizontal="center" vertical="center" wrapText="1"/>
    </xf>
    <xf numFmtId="49" fontId="2" fillId="8" borderId="3" xfId="0" applyNumberFormat="1" applyFont="1" applyFill="1" applyBorder="1" applyAlignment="1" applyProtection="1">
      <alignment horizontal="center" vertical="center" wrapText="1"/>
    </xf>
    <xf numFmtId="49" fontId="1" fillId="8" borderId="0" xfId="0" applyNumberFormat="1" applyFont="1" applyFill="1" applyBorder="1" applyAlignment="1" applyProtection="1">
      <alignment vertical="center"/>
    </xf>
    <xf numFmtId="49" fontId="1" fillId="10" borderId="1" xfId="0" applyNumberFormat="1" applyFont="1" applyFill="1" applyBorder="1" applyAlignment="1" applyProtection="1">
      <alignment horizontal="center" vertical="center" wrapText="1"/>
      <protection locked="0"/>
    </xf>
    <xf numFmtId="49" fontId="1" fillId="8" borderId="3" xfId="0" applyNumberFormat="1" applyFont="1" applyFill="1" applyBorder="1" applyAlignment="1" applyProtection="1">
      <alignment horizontal="center" vertical="center" wrapText="1"/>
      <protection locked="0"/>
    </xf>
    <xf numFmtId="49" fontId="1" fillId="8" borderId="1" xfId="0" applyNumberFormat="1" applyFont="1" applyFill="1" applyBorder="1" applyAlignment="1" applyProtection="1">
      <alignment horizontal="center" vertical="center" wrapText="1"/>
      <protection locked="0"/>
    </xf>
    <xf numFmtId="49" fontId="1" fillId="10" borderId="3" xfId="0" applyNumberFormat="1" applyFont="1" applyFill="1" applyBorder="1" applyAlignment="1" applyProtection="1">
      <alignment horizontal="center" vertical="center" wrapText="1"/>
      <protection locked="0"/>
    </xf>
    <xf numFmtId="49" fontId="2" fillId="8" borderId="10" xfId="0" applyNumberFormat="1" applyFont="1" applyFill="1" applyBorder="1" applyAlignment="1" applyProtection="1">
      <alignment horizontal="center" vertical="center" wrapText="1"/>
    </xf>
    <xf numFmtId="49" fontId="1" fillId="8" borderId="10" xfId="0" applyNumberFormat="1" applyFont="1" applyFill="1" applyBorder="1" applyAlignment="1" applyProtection="1">
      <alignment horizontal="center" vertical="center" wrapText="1"/>
      <protection locked="0"/>
    </xf>
    <xf numFmtId="49" fontId="2" fillId="8" borderId="3" xfId="0" applyNumberFormat="1" applyFont="1" applyFill="1" applyBorder="1" applyAlignment="1" applyProtection="1">
      <alignment horizontal="center" vertical="center" wrapText="1"/>
      <protection locked="0"/>
    </xf>
    <xf numFmtId="49" fontId="1" fillId="8" borderId="1" xfId="0" quotePrefix="1" applyNumberFormat="1" applyFont="1" applyFill="1" applyBorder="1" applyAlignment="1" applyProtection="1">
      <alignment horizontal="center" vertical="center" wrapText="1"/>
      <protection locked="0"/>
    </xf>
    <xf numFmtId="49" fontId="2" fillId="2" borderId="2" xfId="0" applyNumberFormat="1" applyFont="1" applyFill="1" applyBorder="1" applyAlignment="1" applyProtection="1">
      <alignment horizontal="center" vertical="center" wrapText="1"/>
      <protection locked="0"/>
    </xf>
    <xf numFmtId="0" fontId="1" fillId="6" borderId="0" xfId="0" applyFont="1" applyFill="1" applyBorder="1" applyAlignment="1" applyProtection="1">
      <alignment vertical="center"/>
    </xf>
    <xf numFmtId="49" fontId="2" fillId="6" borderId="0" xfId="0" applyNumberFormat="1" applyFont="1" applyFill="1" applyBorder="1" applyAlignment="1" applyProtection="1">
      <alignment horizontal="center" vertical="center" wrapText="1"/>
    </xf>
    <xf numFmtId="49" fontId="1" fillId="6" borderId="0" xfId="0" applyNumberFormat="1" applyFont="1" applyFill="1" applyBorder="1" applyAlignment="1" applyProtection="1">
      <alignment horizontal="center" vertical="center" wrapText="1"/>
    </xf>
    <xf numFmtId="0" fontId="1" fillId="6" borderId="0" xfId="0" applyFont="1" applyFill="1" applyBorder="1" applyAlignment="1" applyProtection="1">
      <alignment vertical="center" wrapText="1"/>
    </xf>
    <xf numFmtId="0" fontId="2" fillId="2" borderId="3" xfId="0" applyFont="1" applyFill="1" applyBorder="1" applyAlignment="1">
      <alignment horizontal="center"/>
    </xf>
    <xf numFmtId="0" fontId="2" fillId="2" borderId="0" xfId="0" applyFont="1" applyFill="1" applyBorder="1" applyAlignment="1">
      <alignment horizontal="center"/>
    </xf>
    <xf numFmtId="0" fontId="2" fillId="2" borderId="3" xfId="0" applyFont="1" applyFill="1" applyBorder="1" applyAlignment="1">
      <alignment horizontal="center" vertical="top"/>
    </xf>
    <xf numFmtId="0" fontId="2" fillId="7" borderId="0" xfId="0" applyFont="1" applyFill="1" applyBorder="1" applyAlignment="1">
      <alignment horizontal="center"/>
    </xf>
    <xf numFmtId="0" fontId="2" fillId="5" borderId="3" xfId="0" applyFont="1" applyFill="1" applyBorder="1" applyAlignment="1">
      <alignment horizontal="center"/>
    </xf>
    <xf numFmtId="0" fontId="2" fillId="6" borderId="3" xfId="0" applyFont="1" applyFill="1" applyBorder="1" applyAlignment="1">
      <alignment horizontal="center"/>
    </xf>
    <xf numFmtId="0" fontId="1" fillId="2" borderId="3" xfId="0" applyFont="1" applyFill="1" applyBorder="1" applyAlignment="1">
      <alignment horizontal="center"/>
    </xf>
    <xf numFmtId="0" fontId="1" fillId="2" borderId="0" xfId="0" applyFont="1" applyFill="1" applyBorder="1"/>
    <xf numFmtId="0" fontId="1" fillId="2" borderId="3" xfId="0" applyFont="1" applyFill="1" applyBorder="1"/>
    <xf numFmtId="0" fontId="1" fillId="2" borderId="3" xfId="0" applyFont="1" applyFill="1" applyBorder="1" applyAlignment="1">
      <alignment vertical="top"/>
    </xf>
    <xf numFmtId="0" fontId="1" fillId="2" borderId="0" xfId="0" applyFont="1" applyFill="1" applyBorder="1" applyAlignment="1">
      <alignment vertical="top"/>
    </xf>
    <xf numFmtId="0" fontId="1" fillId="2" borderId="3" xfId="0" applyFont="1" applyFill="1" applyBorder="1" applyAlignment="1"/>
    <xf numFmtId="0" fontId="1" fillId="7" borderId="0" xfId="0" applyFont="1" applyFill="1" applyBorder="1" applyAlignment="1">
      <alignment vertical="top"/>
    </xf>
    <xf numFmtId="0" fontId="2" fillId="4" borderId="3" xfId="0" applyFont="1" applyFill="1" applyBorder="1" applyAlignment="1">
      <alignment horizontal="center"/>
    </xf>
    <xf numFmtId="0" fontId="1" fillId="5" borderId="3" xfId="0" applyFont="1" applyFill="1" applyBorder="1" applyAlignment="1">
      <alignment horizontal="center"/>
    </xf>
    <xf numFmtId="0" fontId="1" fillId="6" borderId="3" xfId="0" applyFont="1" applyFill="1" applyBorder="1" applyAlignment="1">
      <alignment horizontal="center"/>
    </xf>
    <xf numFmtId="0" fontId="1" fillId="2" borderId="3" xfId="0" quotePrefix="1" applyFont="1" applyFill="1" applyBorder="1" applyAlignment="1">
      <alignment horizontal="center"/>
    </xf>
    <xf numFmtId="0" fontId="1" fillId="5" borderId="3" xfId="0" applyFont="1" applyFill="1" applyBorder="1"/>
    <xf numFmtId="0" fontId="1" fillId="6" borderId="3" xfId="0" applyFont="1" applyFill="1" applyBorder="1"/>
    <xf numFmtId="0" fontId="1" fillId="2" borderId="0" xfId="0" applyFont="1" applyFill="1" applyBorder="1" applyAlignment="1"/>
    <xf numFmtId="0" fontId="1" fillId="7" borderId="0" xfId="0" applyFont="1" applyFill="1" applyBorder="1" applyAlignment="1"/>
    <xf numFmtId="0" fontId="1" fillId="5" borderId="0" xfId="0" applyFont="1" applyFill="1" applyBorder="1"/>
    <xf numFmtId="0" fontId="1" fillId="6" borderId="0" xfId="0" applyFont="1" applyFill="1" applyBorder="1"/>
    <xf numFmtId="0" fontId="1" fillId="2" borderId="0" xfId="0" applyFont="1" applyFill="1" applyBorder="1" applyAlignment="1">
      <alignment horizontal="center"/>
    </xf>
    <xf numFmtId="49" fontId="1" fillId="2" borderId="0" xfId="0" applyNumberFormat="1" applyFont="1" applyFill="1" applyBorder="1" applyAlignment="1" applyProtection="1">
      <alignment horizontal="center" vertical="center"/>
    </xf>
    <xf numFmtId="49" fontId="2" fillId="2" borderId="0" xfId="0" applyNumberFormat="1" applyFont="1" applyFill="1" applyBorder="1" applyAlignment="1" applyProtection="1">
      <alignment horizontal="right" vertical="center" wrapText="1"/>
    </xf>
    <xf numFmtId="49" fontId="1" fillId="2" borderId="6" xfId="0" applyNumberFormat="1" applyFont="1" applyFill="1" applyBorder="1" applyAlignment="1" applyProtection="1">
      <alignment horizontal="center" vertical="center" wrapText="1"/>
    </xf>
    <xf numFmtId="49" fontId="1" fillId="0" borderId="11" xfId="0" applyNumberFormat="1" applyFont="1" applyFill="1" applyBorder="1" applyAlignment="1" applyProtection="1">
      <alignment horizontal="center" vertical="center" wrapText="1"/>
      <protection locked="0"/>
    </xf>
    <xf numFmtId="49" fontId="1" fillId="0" borderId="8" xfId="0" applyNumberFormat="1" applyFont="1" applyFill="1" applyBorder="1" applyAlignment="1" applyProtection="1">
      <alignment horizontal="center" vertical="center" wrapText="1"/>
      <protection locked="0"/>
    </xf>
    <xf numFmtId="49" fontId="1" fillId="0" borderId="12" xfId="0" applyNumberFormat="1" applyFont="1" applyFill="1" applyBorder="1" applyAlignment="1" applyProtection="1">
      <alignment horizontal="center" vertical="center" wrapText="1"/>
      <protection locked="0"/>
    </xf>
    <xf numFmtId="49" fontId="1" fillId="0" borderId="9" xfId="0" applyNumberFormat="1" applyFont="1" applyFill="1" applyBorder="1" applyAlignment="1" applyProtection="1">
      <alignment horizontal="center" vertical="center" wrapText="1"/>
    </xf>
    <xf numFmtId="49" fontId="1" fillId="0" borderId="14" xfId="0" applyNumberFormat="1" applyFont="1" applyFill="1" applyBorder="1" applyAlignment="1" applyProtection="1">
      <alignment horizontal="center" vertical="center"/>
    </xf>
    <xf numFmtId="49" fontId="2" fillId="8" borderId="18" xfId="0" applyNumberFormat="1" applyFont="1" applyFill="1" applyBorder="1" applyAlignment="1" applyProtection="1">
      <alignment horizontal="center" vertical="center" wrapText="1"/>
    </xf>
    <xf numFmtId="49" fontId="2" fillId="9" borderId="7" xfId="0" applyNumberFormat="1" applyFont="1" applyFill="1" applyBorder="1" applyAlignment="1" applyProtection="1">
      <alignment horizontal="center" vertical="center" wrapText="1"/>
    </xf>
    <xf numFmtId="49" fontId="2" fillId="9" borderId="19" xfId="0" applyNumberFormat="1" applyFont="1" applyFill="1" applyBorder="1" applyAlignment="1" applyProtection="1">
      <alignment horizontal="center" vertical="center" wrapText="1"/>
    </xf>
    <xf numFmtId="0" fontId="1" fillId="0" borderId="0" xfId="0" applyFont="1"/>
    <xf numFmtId="0" fontId="1" fillId="2" borderId="0" xfId="0" applyFont="1" applyFill="1" applyBorder="1" applyAlignment="1" applyProtection="1">
      <alignment horizontal="left" vertical="top" wrapText="1"/>
    </xf>
    <xf numFmtId="0" fontId="5" fillId="6" borderId="0" xfId="0" applyFont="1" applyFill="1" applyBorder="1" applyAlignment="1" applyProtection="1">
      <alignment vertical="center"/>
    </xf>
    <xf numFmtId="0" fontId="1" fillId="7" borderId="0" xfId="0" applyFont="1" applyFill="1" applyBorder="1" applyAlignment="1" applyProtection="1">
      <alignment horizontal="center" vertical="center" wrapText="1"/>
    </xf>
    <xf numFmtId="0" fontId="2" fillId="7" borderId="0" xfId="0" applyFont="1" applyFill="1" applyBorder="1" applyAlignment="1" applyProtection="1">
      <alignment horizontal="center" vertical="center" wrapText="1"/>
    </xf>
    <xf numFmtId="0" fontId="1" fillId="7" borderId="0" xfId="0" applyFont="1" applyFill="1" applyBorder="1" applyAlignment="1" applyProtection="1">
      <alignment vertical="center"/>
    </xf>
    <xf numFmtId="0" fontId="2" fillId="7" borderId="0" xfId="0" applyFont="1" applyFill="1" applyBorder="1" applyAlignment="1" applyProtection="1">
      <alignment horizontal="center" vertical="center"/>
    </xf>
    <xf numFmtId="0" fontId="1" fillId="7" borderId="0" xfId="0" applyNumberFormat="1" applyFont="1" applyFill="1" applyBorder="1" applyAlignment="1" applyProtection="1">
      <alignment horizontal="left" vertical="top" wrapText="1"/>
    </xf>
    <xf numFmtId="0" fontId="1" fillId="7" borderId="0" xfId="0" applyFont="1" applyFill="1" applyBorder="1" applyAlignment="1" applyProtection="1">
      <alignment vertical="center" wrapText="1"/>
    </xf>
    <xf numFmtId="49" fontId="4" fillId="7" borderId="0" xfId="0" applyNumberFormat="1" applyFont="1" applyFill="1" applyBorder="1" applyAlignment="1" applyProtection="1">
      <alignment vertical="center" wrapText="1"/>
      <protection locked="0"/>
    </xf>
    <xf numFmtId="0" fontId="1" fillId="7" borderId="20" xfId="0" applyFont="1" applyFill="1" applyBorder="1" applyAlignment="1" applyProtection="1">
      <alignment horizontal="center" vertical="center" wrapText="1"/>
    </xf>
    <xf numFmtId="0" fontId="1" fillId="7" borderId="0" xfId="0" applyFont="1" applyFill="1" applyBorder="1" applyProtection="1"/>
    <xf numFmtId="0" fontId="1" fillId="7" borderId="0" xfId="0" applyFont="1" applyFill="1" applyBorder="1"/>
    <xf numFmtId="0" fontId="2" fillId="7" borderId="21" xfId="0" applyNumberFormat="1" applyFont="1" applyFill="1" applyBorder="1" applyAlignment="1" applyProtection="1">
      <alignment horizontal="center" vertical="center"/>
    </xf>
    <xf numFmtId="0" fontId="2" fillId="7" borderId="4" xfId="0" applyNumberFormat="1" applyFont="1" applyFill="1" applyBorder="1" applyAlignment="1" applyProtection="1">
      <alignment horizontal="center" vertical="center"/>
    </xf>
    <xf numFmtId="0" fontId="1" fillId="7" borderId="21" xfId="0" applyNumberFormat="1" applyFont="1" applyFill="1" applyBorder="1" applyAlignment="1" applyProtection="1">
      <alignment vertical="center"/>
    </xf>
    <xf numFmtId="0" fontId="1" fillId="7" borderId="4" xfId="0" applyNumberFormat="1" applyFont="1" applyFill="1" applyBorder="1" applyAlignment="1" applyProtection="1">
      <alignment vertical="center"/>
    </xf>
    <xf numFmtId="0" fontId="1" fillId="7" borderId="21" xfId="0" applyFont="1" applyFill="1" applyBorder="1" applyAlignment="1" applyProtection="1">
      <alignment vertical="center"/>
    </xf>
    <xf numFmtId="0" fontId="1" fillId="7" borderId="4" xfId="0" applyFont="1" applyFill="1" applyBorder="1" applyAlignment="1" applyProtection="1">
      <alignment vertical="center"/>
    </xf>
    <xf numFmtId="0" fontId="1" fillId="7" borderId="21" xfId="0" applyFont="1" applyFill="1" applyBorder="1"/>
    <xf numFmtId="0" fontId="1" fillId="7" borderId="4" xfId="0" applyFont="1" applyFill="1" applyBorder="1"/>
    <xf numFmtId="0" fontId="1" fillId="6" borderId="0" xfId="0" applyFont="1" applyFill="1"/>
    <xf numFmtId="49" fontId="1" fillId="2" borderId="2" xfId="0" applyNumberFormat="1" applyFont="1" applyFill="1" applyBorder="1" applyAlignment="1" applyProtection="1">
      <alignment horizontal="center" vertical="center" wrapText="1"/>
    </xf>
    <xf numFmtId="49" fontId="1" fillId="2" borderId="3" xfId="0" applyNumberFormat="1" applyFont="1" applyFill="1" applyBorder="1" applyAlignment="1" applyProtection="1">
      <alignment horizontal="center" vertical="center" wrapText="1"/>
    </xf>
    <xf numFmtId="49" fontId="1" fillId="5" borderId="2" xfId="0" applyNumberFormat="1" applyFont="1" applyFill="1" applyBorder="1" applyAlignment="1" applyProtection="1">
      <alignment horizontal="center" vertical="center" wrapText="1"/>
    </xf>
    <xf numFmtId="49" fontId="1" fillId="5" borderId="3" xfId="0" applyNumberFormat="1" applyFont="1" applyFill="1" applyBorder="1" applyAlignment="1" applyProtection="1">
      <alignment horizontal="center" vertical="center" wrapText="1"/>
    </xf>
    <xf numFmtId="49" fontId="1" fillId="5" borderId="10" xfId="0" applyNumberFormat="1" applyFont="1" applyFill="1" applyBorder="1" applyAlignment="1" applyProtection="1">
      <alignment horizontal="center" vertical="center" wrapText="1"/>
    </xf>
    <xf numFmtId="49" fontId="5" fillId="6" borderId="0" xfId="0" applyNumberFormat="1" applyFont="1" applyFill="1" applyBorder="1" applyAlignment="1" applyProtection="1">
      <alignment horizontal="center" vertical="center" wrapText="1"/>
    </xf>
    <xf numFmtId="49" fontId="6" fillId="6" borderId="0" xfId="0" applyNumberFormat="1" applyFont="1" applyFill="1" applyBorder="1" applyAlignment="1" applyProtection="1">
      <alignment horizontal="center" vertical="center" wrapText="1"/>
    </xf>
    <xf numFmtId="49" fontId="2" fillId="8" borderId="23" xfId="0" applyNumberFormat="1" applyFont="1" applyFill="1" applyBorder="1" applyAlignment="1" applyProtection="1">
      <alignment horizontal="center" vertical="center" wrapText="1"/>
    </xf>
    <xf numFmtId="49" fontId="1" fillId="8" borderId="23" xfId="0" applyNumberFormat="1" applyFont="1" applyFill="1" applyBorder="1" applyAlignment="1" applyProtection="1">
      <alignment horizontal="center" vertical="center" wrapText="1"/>
    </xf>
    <xf numFmtId="49" fontId="1" fillId="2" borderId="23" xfId="0" applyNumberFormat="1" applyFont="1" applyFill="1" applyBorder="1" applyAlignment="1" applyProtection="1">
      <alignment horizontal="center" vertical="center" wrapText="1"/>
    </xf>
    <xf numFmtId="49" fontId="2" fillId="10" borderId="25" xfId="0" applyNumberFormat="1" applyFont="1" applyFill="1" applyBorder="1" applyAlignment="1" applyProtection="1">
      <alignment horizontal="center" vertical="center" wrapText="1"/>
    </xf>
    <xf numFmtId="49" fontId="1" fillId="2" borderId="25" xfId="0" applyNumberFormat="1" applyFont="1" applyFill="1" applyBorder="1" applyAlignment="1" applyProtection="1">
      <alignment horizontal="center" vertical="center" wrapText="1"/>
      <protection locked="0"/>
    </xf>
    <xf numFmtId="49" fontId="1" fillId="10" borderId="25" xfId="0" applyNumberFormat="1" applyFont="1" applyFill="1" applyBorder="1" applyAlignment="1" applyProtection="1">
      <alignment horizontal="center" vertical="center" wrapText="1"/>
      <protection locked="0"/>
    </xf>
    <xf numFmtId="49" fontId="1" fillId="10" borderId="26" xfId="0" applyNumberFormat="1" applyFont="1" applyFill="1" applyBorder="1" applyAlignment="1" applyProtection="1">
      <alignment horizontal="center" vertical="center" wrapText="1"/>
      <protection locked="0"/>
    </xf>
    <xf numFmtId="49" fontId="1" fillId="8" borderId="26" xfId="0" applyNumberFormat="1" applyFont="1" applyFill="1" applyBorder="1" applyAlignment="1" applyProtection="1">
      <alignment horizontal="center" vertical="center" wrapText="1"/>
      <protection locked="0"/>
    </xf>
    <xf numFmtId="49" fontId="1" fillId="5" borderId="23" xfId="0" applyNumberFormat="1" applyFont="1" applyFill="1" applyBorder="1" applyAlignment="1" applyProtection="1">
      <alignment horizontal="center" vertical="center" wrapText="1"/>
    </xf>
    <xf numFmtId="49" fontId="1" fillId="5" borderId="25" xfId="0" applyNumberFormat="1" applyFont="1" applyFill="1" applyBorder="1" applyAlignment="1" applyProtection="1">
      <alignment horizontal="center" vertical="center" wrapText="1"/>
    </xf>
    <xf numFmtId="49" fontId="1" fillId="5" borderId="22" xfId="0" applyNumberFormat="1" applyFont="1" applyFill="1" applyBorder="1" applyAlignment="1" applyProtection="1">
      <alignment horizontal="center" vertical="center" wrapText="1"/>
    </xf>
    <xf numFmtId="49" fontId="2" fillId="5" borderId="7" xfId="0" applyNumberFormat="1" applyFont="1" applyFill="1" applyBorder="1" applyAlignment="1" applyProtection="1">
      <alignment horizontal="center" vertical="center" wrapText="1"/>
    </xf>
    <xf numFmtId="49" fontId="1" fillId="11" borderId="1" xfId="0" applyNumberFormat="1" applyFont="1" applyFill="1" applyBorder="1" applyAlignment="1" applyProtection="1">
      <alignment horizontal="center" vertical="center" wrapText="1"/>
      <protection locked="0"/>
    </xf>
    <xf numFmtId="0" fontId="1" fillId="2" borderId="27" xfId="0" applyNumberFormat="1" applyFont="1" applyFill="1" applyBorder="1" applyAlignment="1" applyProtection="1">
      <alignment horizontal="center" vertical="center" wrapText="1"/>
      <protection locked="0"/>
    </xf>
    <xf numFmtId="0" fontId="1" fillId="2" borderId="28" xfId="0" applyNumberFormat="1" applyFont="1" applyFill="1" applyBorder="1" applyAlignment="1" applyProtection="1">
      <alignment horizontal="center" vertical="center" wrapText="1"/>
      <protection locked="0"/>
    </xf>
    <xf numFmtId="0" fontId="1" fillId="2" borderId="28" xfId="0" applyNumberFormat="1" applyFont="1" applyFill="1" applyBorder="1" applyAlignment="1" applyProtection="1">
      <alignment horizontal="center" vertical="center" wrapText="1"/>
    </xf>
    <xf numFmtId="0" fontId="1" fillId="2" borderId="29" xfId="0" applyNumberFormat="1" applyFont="1" applyFill="1" applyBorder="1" applyAlignment="1" applyProtection="1">
      <alignment horizontal="center" vertical="center"/>
    </xf>
    <xf numFmtId="0" fontId="1" fillId="2" borderId="27" xfId="0" applyNumberFormat="1" applyFont="1" applyFill="1" applyBorder="1" applyAlignment="1" applyProtection="1">
      <alignment horizontal="center" vertical="center" wrapText="1"/>
    </xf>
    <xf numFmtId="0" fontId="1" fillId="2" borderId="29" xfId="0" applyNumberFormat="1" applyFont="1" applyFill="1" applyBorder="1" applyAlignment="1" applyProtection="1">
      <alignment horizontal="center" vertical="center" wrapText="1"/>
    </xf>
    <xf numFmtId="49" fontId="1" fillId="10" borderId="31" xfId="0" applyNumberFormat="1" applyFont="1" applyFill="1" applyBorder="1" applyAlignment="1" applyProtection="1">
      <alignment horizontal="center" vertical="center" wrapText="1"/>
      <protection locked="0"/>
    </xf>
    <xf numFmtId="49" fontId="1" fillId="8" borderId="31" xfId="0" applyNumberFormat="1" applyFont="1" applyFill="1" applyBorder="1" applyAlignment="1" applyProtection="1">
      <alignment horizontal="center" vertical="center" wrapText="1"/>
      <protection locked="0"/>
    </xf>
    <xf numFmtId="0" fontId="3" fillId="6" borderId="32" xfId="0" applyFont="1" applyFill="1" applyBorder="1" applyAlignment="1" applyProtection="1">
      <alignment vertical="center" wrapText="1"/>
    </xf>
    <xf numFmtId="49" fontId="1" fillId="13" borderId="1" xfId="0" applyNumberFormat="1" applyFont="1" applyFill="1" applyBorder="1" applyAlignment="1" applyProtection="1">
      <alignment horizontal="center" vertical="center" wrapText="1"/>
      <protection locked="0"/>
    </xf>
    <xf numFmtId="0" fontId="0" fillId="6" borderId="0" xfId="0" applyFill="1"/>
    <xf numFmtId="49" fontId="1" fillId="14" borderId="1" xfId="0" applyNumberFormat="1" applyFont="1" applyFill="1" applyBorder="1" applyAlignment="1" applyProtection="1">
      <alignment horizontal="center" vertical="center" wrapText="1"/>
      <protection locked="0"/>
    </xf>
    <xf numFmtId="49" fontId="1" fillId="15" borderId="1" xfId="0" applyNumberFormat="1" applyFont="1" applyFill="1" applyBorder="1" applyAlignment="1" applyProtection="1">
      <alignment horizontal="center" vertical="center" wrapText="1"/>
      <protection locked="0"/>
    </xf>
    <xf numFmtId="49" fontId="3" fillId="6" borderId="17" xfId="0" applyNumberFormat="1" applyFont="1" applyFill="1" applyBorder="1" applyAlignment="1" applyProtection="1">
      <alignment horizontal="left" vertical="center" wrapText="1"/>
    </xf>
    <xf numFmtId="0" fontId="9" fillId="2" borderId="0" xfId="0" applyFont="1" applyFill="1"/>
    <xf numFmtId="0" fontId="10" fillId="2" borderId="0" xfId="0" applyFont="1" applyFill="1" applyAlignment="1">
      <alignment wrapText="1"/>
    </xf>
    <xf numFmtId="0" fontId="3" fillId="6" borderId="0" xfId="0" applyFont="1" applyFill="1" applyAlignment="1">
      <alignment wrapText="1"/>
    </xf>
    <xf numFmtId="49" fontId="1" fillId="16" borderId="1" xfId="0" applyNumberFormat="1" applyFont="1" applyFill="1" applyBorder="1" applyAlignment="1" applyProtection="1">
      <alignment horizontal="center" vertical="center" wrapText="1"/>
      <protection locked="0"/>
    </xf>
    <xf numFmtId="49" fontId="1" fillId="12" borderId="8" xfId="0" applyNumberFormat="1" applyFont="1" applyFill="1" applyBorder="1" applyAlignment="1" applyProtection="1">
      <alignment horizontal="center" vertical="center" wrapText="1"/>
    </xf>
    <xf numFmtId="0" fontId="11" fillId="6" borderId="0" xfId="1" applyFill="1" applyBorder="1" applyAlignment="1" applyProtection="1">
      <alignment vertical="center"/>
    </xf>
    <xf numFmtId="49" fontId="1" fillId="17" borderId="11" xfId="0" applyNumberFormat="1" applyFont="1" applyFill="1" applyBorder="1" applyAlignment="1" applyProtection="1">
      <alignment horizontal="center" vertical="center" wrapText="1"/>
    </xf>
    <xf numFmtId="49" fontId="1" fillId="18" borderId="8" xfId="0" applyNumberFormat="1" applyFont="1" applyFill="1" applyBorder="1" applyAlignment="1" applyProtection="1">
      <alignment horizontal="center" vertical="center" wrapText="1"/>
    </xf>
    <xf numFmtId="49" fontId="1" fillId="19" borderId="8" xfId="0" applyNumberFormat="1" applyFont="1" applyFill="1" applyBorder="1" applyAlignment="1" applyProtection="1">
      <alignment horizontal="center" vertical="center" wrapText="1"/>
    </xf>
    <xf numFmtId="49" fontId="1" fillId="20" borderId="13" xfId="0" applyNumberFormat="1" applyFont="1" applyFill="1" applyBorder="1" applyAlignment="1" applyProtection="1">
      <alignment horizontal="center" vertical="center" wrapText="1"/>
    </xf>
    <xf numFmtId="49" fontId="1" fillId="21" borderId="9" xfId="0" applyNumberFormat="1" applyFont="1" applyFill="1" applyBorder="1" applyAlignment="1" applyProtection="1">
      <alignment horizontal="center" vertical="center" wrapText="1"/>
    </xf>
    <xf numFmtId="49" fontId="1" fillId="22" borderId="9" xfId="0" applyNumberFormat="1" applyFont="1" applyFill="1" applyBorder="1" applyAlignment="1" applyProtection="1">
      <alignment horizontal="center" vertical="center" wrapText="1"/>
    </xf>
    <xf numFmtId="49" fontId="1" fillId="23" borderId="9" xfId="0" applyNumberFormat="1" applyFont="1" applyFill="1" applyBorder="1" applyAlignment="1" applyProtection="1">
      <alignment horizontal="center" vertical="center" wrapText="1"/>
    </xf>
    <xf numFmtId="49" fontId="1" fillId="24" borderId="9" xfId="0" applyNumberFormat="1" applyFont="1" applyFill="1" applyBorder="1" applyAlignment="1" applyProtection="1">
      <alignment horizontal="center" vertical="center" wrapText="1"/>
    </xf>
    <xf numFmtId="49" fontId="1" fillId="25" borderId="14" xfId="0" applyNumberFormat="1" applyFont="1" applyFill="1" applyBorder="1" applyAlignment="1" applyProtection="1">
      <alignment horizontal="center" vertical="center" wrapText="1"/>
    </xf>
    <xf numFmtId="49" fontId="1" fillId="26" borderId="8" xfId="0" applyNumberFormat="1" applyFont="1" applyFill="1" applyBorder="1" applyAlignment="1" applyProtection="1">
      <alignment horizontal="center" vertical="center" wrapText="1"/>
    </xf>
    <xf numFmtId="49" fontId="1" fillId="27" borderId="12" xfId="0" applyNumberFormat="1" applyFont="1" applyFill="1" applyBorder="1" applyAlignment="1" applyProtection="1">
      <alignment horizontal="center" vertical="center" wrapText="1"/>
    </xf>
    <xf numFmtId="49" fontId="1" fillId="28" borderId="1" xfId="0" applyNumberFormat="1" applyFont="1" applyFill="1" applyBorder="1" applyAlignment="1" applyProtection="1">
      <alignment horizontal="center" vertical="center" wrapText="1"/>
      <protection locked="0"/>
    </xf>
    <xf numFmtId="49" fontId="1" fillId="29" borderId="24" xfId="0" applyNumberFormat="1" applyFont="1" applyFill="1" applyBorder="1" applyAlignment="1" applyProtection="1">
      <alignment horizontal="center" vertical="center" wrapText="1"/>
      <protection locked="0"/>
    </xf>
    <xf numFmtId="49" fontId="1" fillId="29" borderId="1" xfId="0" applyNumberFormat="1" applyFont="1" applyFill="1" applyBorder="1" applyAlignment="1" applyProtection="1">
      <alignment horizontal="center" vertical="center" wrapText="1"/>
      <protection locked="0"/>
    </xf>
    <xf numFmtId="49" fontId="8" fillId="2" borderId="0" xfId="0" applyNumberFormat="1" applyFont="1" applyFill="1" applyBorder="1" applyAlignment="1" applyProtection="1">
      <alignment horizontal="left" vertical="center" wrapText="1"/>
    </xf>
    <xf numFmtId="0" fontId="1" fillId="7" borderId="4" xfId="0" applyNumberFormat="1" applyFont="1" applyFill="1" applyBorder="1" applyAlignment="1" applyProtection="1">
      <alignment horizontal="left" vertical="top" wrapText="1"/>
    </xf>
    <xf numFmtId="0" fontId="1" fillId="2" borderId="0" xfId="0" applyFont="1" applyFill="1" applyBorder="1" applyAlignment="1" applyProtection="1">
      <alignment horizontal="left" vertical="top" wrapText="1"/>
    </xf>
    <xf numFmtId="49" fontId="4" fillId="2" borderId="15" xfId="0" applyNumberFormat="1" applyFont="1" applyFill="1" applyBorder="1" applyAlignment="1" applyProtection="1">
      <alignment horizontal="center" vertical="center" wrapText="1"/>
      <protection locked="0"/>
    </xf>
    <xf numFmtId="49" fontId="4" fillId="2" borderId="5" xfId="0" applyNumberFormat="1" applyFont="1" applyFill="1" applyBorder="1" applyAlignment="1" applyProtection="1">
      <alignment horizontal="center" vertical="center" wrapText="1"/>
      <protection locked="0"/>
    </xf>
    <xf numFmtId="49" fontId="4" fillId="2" borderId="16" xfId="0" applyNumberFormat="1" applyFont="1" applyFill="1" applyBorder="1" applyAlignment="1" applyProtection="1">
      <alignment horizontal="center" vertical="center" wrapText="1"/>
      <protection locked="0"/>
    </xf>
    <xf numFmtId="0" fontId="1" fillId="7" borderId="21" xfId="0" applyFont="1" applyFill="1" applyBorder="1" applyAlignment="1" applyProtection="1">
      <alignment horizontal="left" vertical="center" wrapText="1"/>
    </xf>
    <xf numFmtId="49" fontId="7" fillId="6" borderId="30" xfId="0" applyNumberFormat="1" applyFont="1" applyFill="1" applyBorder="1" applyAlignment="1" applyProtection="1">
      <alignment horizontal="center" vertical="center" wrapText="1"/>
    </xf>
    <xf numFmtId="49" fontId="7" fillId="6" borderId="26" xfId="0" applyNumberFormat="1" applyFont="1" applyFill="1" applyBorder="1" applyAlignment="1" applyProtection="1">
      <alignment horizontal="center" vertical="center" wrapText="1"/>
    </xf>
    <xf numFmtId="0" fontId="7" fillId="6" borderId="25" xfId="0" applyFont="1" applyFill="1" applyBorder="1" applyAlignment="1" applyProtection="1">
      <alignment horizontal="center" vertical="center" wrapText="1"/>
    </xf>
  </cellXfs>
  <cellStyles count="2">
    <cellStyle name="Hyperlink" xfId="1" builtinId="8"/>
    <cellStyle name="Normal" xfId="0" builtinId="0"/>
  </cellStyles>
  <dxfs count="10">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patternType="solid">
          <bgColor theme="0"/>
        </patternFill>
      </fill>
    </dxf>
    <dxf>
      <fill>
        <patternFill>
          <bgColor theme="0" tint="-0.14996795556505021"/>
        </patternFill>
      </fill>
    </dxf>
    <dxf>
      <fill>
        <patternFill>
          <bgColor theme="0"/>
        </patternFill>
      </fill>
    </dxf>
    <dxf>
      <fill>
        <patternFill>
          <bgColor theme="0"/>
        </patternFill>
      </fill>
    </dxf>
    <dxf>
      <font>
        <color auto="1"/>
      </font>
      <fill>
        <patternFill>
          <bgColor theme="0" tint="-0.14996795556505021"/>
        </patternFill>
      </fill>
    </dxf>
    <dxf>
      <font>
        <color theme="0"/>
      </font>
      <fill>
        <patternFill>
          <bgColor theme="0" tint="-0.34998626667073579"/>
        </patternFill>
      </fill>
    </dxf>
  </dxfs>
  <tableStyles count="0" defaultTableStyle="TableStyleMedium2" defaultPivotStyle="PivotStyleLight16"/>
  <colors>
    <mruColors>
      <color rgb="FFFFFFFF"/>
      <color rgb="FF33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28575</xdr:colOff>
      <xdr:row>8</xdr:row>
      <xdr:rowOff>100013</xdr:rowOff>
    </xdr:from>
    <xdr:to>
      <xdr:col>1</xdr:col>
      <xdr:colOff>1152525</xdr:colOff>
      <xdr:row>13</xdr:row>
      <xdr:rowOff>112713</xdr:rowOff>
    </xdr:to>
    <xdr:sp macro="[0]!GenerateHexCodes" textlink="">
      <xdr:nvSpPr>
        <xdr:cNvPr id="7" name="Rectangle: Rounded Corners 6">
          <a:extLst>
            <a:ext uri="{FF2B5EF4-FFF2-40B4-BE49-F238E27FC236}">
              <a16:creationId xmlns:a16="http://schemas.microsoft.com/office/drawing/2014/main" id="{E321ED3E-BF63-4669-9B0C-9C31B74315A6}"/>
            </a:ext>
          </a:extLst>
        </xdr:cNvPr>
        <xdr:cNvSpPr/>
      </xdr:nvSpPr>
      <xdr:spPr>
        <a:xfrm>
          <a:off x="266700" y="1116013"/>
          <a:ext cx="1123950" cy="385763"/>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800"/>
            <a:t>Get Excel Theme Hexcodes</a:t>
          </a:r>
        </a:p>
      </xdr:txBody>
    </xdr:sp>
    <xdr:clientData/>
  </xdr:twoCellAnchor>
  <xdr:twoCellAnchor>
    <xdr:from>
      <xdr:col>26</xdr:col>
      <xdr:colOff>12700</xdr:colOff>
      <xdr:row>0</xdr:row>
      <xdr:rowOff>50800</xdr:rowOff>
    </xdr:from>
    <xdr:to>
      <xdr:col>26</xdr:col>
      <xdr:colOff>1149350</xdr:colOff>
      <xdr:row>1</xdr:row>
      <xdr:rowOff>133350</xdr:rowOff>
    </xdr:to>
    <xdr:sp macro="[0]!CreateJsonFile" textlink="">
      <xdr:nvSpPr>
        <xdr:cNvPr id="8" name="Rectangle: Rounded Corners 7">
          <a:extLst>
            <a:ext uri="{FF2B5EF4-FFF2-40B4-BE49-F238E27FC236}">
              <a16:creationId xmlns:a16="http://schemas.microsoft.com/office/drawing/2014/main" id="{7684DC16-FB92-4F17-BE0B-ACA28C38E5ED}"/>
            </a:ext>
          </a:extLst>
        </xdr:cNvPr>
        <xdr:cNvSpPr/>
      </xdr:nvSpPr>
      <xdr:spPr>
        <a:xfrm>
          <a:off x="10153650" y="50800"/>
          <a:ext cx="1136650" cy="2667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Create .json File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B2:B14"/>
  <sheetViews>
    <sheetView workbookViewId="0">
      <selection activeCell="B5" sqref="B5"/>
    </sheetView>
  </sheetViews>
  <sheetFormatPr defaultColWidth="3.42578125" defaultRowHeight="12.75" x14ac:dyDescent="0.2"/>
  <cols>
    <col min="1" max="1" width="3.42578125" style="116"/>
    <col min="2" max="2" width="102.5703125" style="117" customWidth="1"/>
    <col min="3" max="16384" width="3.42578125" style="116"/>
  </cols>
  <sheetData>
    <row r="2" spans="2:2" ht="18.75" x14ac:dyDescent="0.3">
      <c r="B2" s="118" t="s">
        <v>550</v>
      </c>
    </row>
    <row r="4" spans="2:2" ht="51" x14ac:dyDescent="0.2">
      <c r="B4" s="117" t="s">
        <v>570</v>
      </c>
    </row>
    <row r="6" spans="2:2" ht="51" x14ac:dyDescent="0.2">
      <c r="B6" s="117" t="s">
        <v>551</v>
      </c>
    </row>
    <row r="8" spans="2:2" ht="38.25" x14ac:dyDescent="0.2">
      <c r="B8" s="117" t="s">
        <v>533</v>
      </c>
    </row>
    <row r="10" spans="2:2" ht="25.5" x14ac:dyDescent="0.2">
      <c r="B10" s="117" t="s">
        <v>526</v>
      </c>
    </row>
    <row r="12" spans="2:2" x14ac:dyDescent="0.2">
      <c r="B12" s="117" t="s">
        <v>527</v>
      </c>
    </row>
    <row r="14" spans="2:2" ht="89.25" x14ac:dyDescent="0.2">
      <c r="B14" s="117" t="s">
        <v>549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esign"/>
  <dimension ref="A1:AB410"/>
  <sheetViews>
    <sheetView tabSelected="1" zoomScale="80" zoomScaleNormal="80" workbookViewId="0">
      <pane xSplit="1" ySplit="15" topLeftCell="B16" activePane="bottomRight" state="frozen"/>
      <selection pane="topRight" activeCell="B1" sqref="B1"/>
      <selection pane="bottomLeft" activeCell="A7" sqref="A7"/>
      <selection pane="bottomRight" activeCell="G22" sqref="G22"/>
    </sheetView>
  </sheetViews>
  <sheetFormatPr defaultColWidth="8.7109375" defaultRowHeight="15" x14ac:dyDescent="0.25"/>
  <cols>
    <col min="1" max="1" width="3.42578125" style="60" customWidth="1"/>
    <col min="2" max="9" width="17.42578125" style="60" customWidth="1"/>
    <col min="10" max="11" width="17.42578125" style="72" hidden="1" customWidth="1"/>
    <col min="12" max="12" width="20.5703125" style="72" hidden="1" customWidth="1"/>
    <col min="13" max="13" width="6.5703125" style="72" hidden="1" customWidth="1"/>
    <col min="14" max="15" width="15.85546875" style="72" hidden="1" customWidth="1"/>
    <col min="16" max="16" width="1.5703125" style="72" hidden="1" customWidth="1"/>
    <col min="17" max="17" width="49.5703125" style="79" hidden="1" customWidth="1"/>
    <col min="18" max="18" width="15" style="72" hidden="1" customWidth="1"/>
    <col min="19" max="19" width="21.85546875" style="72" hidden="1" customWidth="1"/>
    <col min="20" max="20" width="21.85546875" style="80" hidden="1" customWidth="1"/>
    <col min="21" max="21" width="14.85546875" style="72" hidden="1" customWidth="1"/>
    <col min="22" max="22" width="6.42578125" style="72" hidden="1" customWidth="1"/>
    <col min="23" max="23" width="17.42578125" style="79" hidden="1" customWidth="1"/>
    <col min="24" max="24" width="17.42578125" style="72" hidden="1" customWidth="1"/>
    <col min="25" max="25" width="17.42578125" style="80" hidden="1" customWidth="1"/>
    <col min="26" max="26" width="2.85546875" style="60" customWidth="1"/>
    <col min="27" max="27" width="37.85546875" style="60" customWidth="1"/>
    <col min="28" max="28" width="3.85546875" style="60" customWidth="1"/>
    <col min="29" max="16384" width="8.7109375" style="60"/>
  </cols>
  <sheetData>
    <row r="1" spans="1:28" x14ac:dyDescent="0.25">
      <c r="A1" s="121"/>
      <c r="B1" s="22"/>
      <c r="C1" s="23"/>
      <c r="D1" s="23"/>
      <c r="E1" s="23"/>
      <c r="F1" s="23"/>
      <c r="G1" s="23"/>
      <c r="H1" s="23"/>
      <c r="I1" s="23"/>
      <c r="J1" s="63"/>
      <c r="K1" s="63"/>
      <c r="L1" s="63"/>
      <c r="M1" s="65"/>
      <c r="N1" s="65"/>
      <c r="O1" s="65"/>
      <c r="P1" s="65"/>
      <c r="Q1" s="73" t="s">
        <v>541</v>
      </c>
      <c r="R1" s="2" t="s">
        <v>542</v>
      </c>
      <c r="S1" s="2" t="s">
        <v>543</v>
      </c>
      <c r="T1" s="74" t="s">
        <v>540</v>
      </c>
      <c r="U1" s="2" t="s">
        <v>538</v>
      </c>
      <c r="V1" s="2" t="s">
        <v>539</v>
      </c>
      <c r="W1" s="77"/>
      <c r="X1" s="65"/>
      <c r="Y1" s="78"/>
      <c r="Z1" s="21"/>
      <c r="AA1" s="21"/>
      <c r="AB1" s="21"/>
    </row>
    <row r="2" spans="1:28" ht="15" customHeight="1" thickBot="1" x14ac:dyDescent="0.3">
      <c r="A2" s="21"/>
      <c r="B2" s="136" t="s">
        <v>555</v>
      </c>
      <c r="C2" s="4"/>
      <c r="D2" s="4"/>
      <c r="E2" s="4"/>
      <c r="F2" s="4"/>
      <c r="G2" s="4"/>
      <c r="H2" s="4"/>
      <c r="I2" s="51"/>
      <c r="J2" s="63"/>
      <c r="K2" s="63"/>
      <c r="L2" s="63"/>
      <c r="M2" s="65"/>
      <c r="N2" s="65"/>
      <c r="O2" s="65"/>
      <c r="P2" s="65"/>
      <c r="Q2" s="73"/>
      <c r="R2" s="2"/>
      <c r="S2" s="2"/>
      <c r="T2" s="74"/>
      <c r="U2" s="2" t="s">
        <v>528</v>
      </c>
      <c r="V2" s="2" t="s">
        <v>529</v>
      </c>
      <c r="W2" s="77"/>
      <c r="X2" s="65"/>
      <c r="Y2" s="78"/>
      <c r="Z2" s="21"/>
      <c r="AA2" s="21"/>
      <c r="AB2" s="21"/>
    </row>
    <row r="3" spans="1:28" ht="21.75" thickBot="1" x14ac:dyDescent="0.3">
      <c r="A3" s="21"/>
      <c r="B3" s="136"/>
      <c r="C3" s="139" t="s">
        <v>558</v>
      </c>
      <c r="D3" s="140"/>
      <c r="E3" s="140"/>
      <c r="F3" s="140"/>
      <c r="G3" s="140"/>
      <c r="H3" s="141"/>
      <c r="I3" s="4"/>
      <c r="J3" s="69"/>
      <c r="K3" s="69"/>
      <c r="L3" s="69"/>
      <c r="M3" s="65"/>
      <c r="N3" s="65"/>
      <c r="O3" s="65"/>
      <c r="P3" s="65"/>
      <c r="Q3" s="75"/>
      <c r="R3" s="5"/>
      <c r="S3" s="5"/>
      <c r="T3" s="76" t="str">
        <f>"{""name"":"""&amp;C3&amp;""","</f>
        <v>{"name":"My New Theme",</v>
      </c>
      <c r="U3" s="5">
        <f>SUMPRODUCT(LEN($T3)-LEN(SUBSTITUTE($T3,U$2,"")))</f>
        <v>1</v>
      </c>
      <c r="V3" s="5">
        <f>SUMPRODUCT(LEN($T3)-LEN(SUBSTITUTE($T3,V$2,"")))</f>
        <v>0</v>
      </c>
      <c r="W3" s="77"/>
      <c r="X3" s="65"/>
      <c r="Y3" s="78"/>
      <c r="Z3" s="21"/>
      <c r="AA3" s="138" t="str">
        <f ca="1">SUBSTITUTE(SUBSTITUTE(SUBSTITUTE(SUBSTITUTE(SUBSTITUTE(SUBSTITUTE(SUBSTITUTE(SUBSTITUTE(SUBSTITUTE(SUBSTITUTE(SUBSTITUTE(SUBSTITUTE(T3&amp;T8&amp;T17&amp;T18&amp;T19&amp;T20&amp;T21&amp;T22&amp;T23&amp;T24&amp;T25&amp;T26&amp;T27&amp;T28&amp;T29&amp;T30&amp;T31&amp;T32&amp;T33&amp;T34&amp;T35&amp;T36&amp;T37&amp;T38&amp;T39&amp;T40&amp;T41&amp;T42&amp;T43&amp;T44&amp;T45&amp;T46&amp;T47&amp;T48&amp;T49&amp;T50&amp;T51&amp;T52&amp;T53&amp;T54&amp;T55&amp;T56&amp;T57&amp;T58&amp;T59&amp;T60&amp;T61&amp;T62&amp;T63&amp;T64&amp;T65&amp;T66&amp;T67&amp;T68&amp;T69&amp;T70&amp;T71&amp;T72&amp;T73&amp;T74&amp;T75&amp;T76&amp;T77&amp;T78&amp;T79&amp;T80&amp;T81&amp;T82&amp;T83&amp;T84&amp;T85&amp;T86&amp;T87&amp;T88&amp;T89&amp;T90&amp;T91&amp;T92&amp;T93&amp;T94&amp;T95&amp;T96&amp;T97&amp;T98&amp;T99&amp;T100&amp;T101&amp;T102&amp;T103&amp;T104&amp;T105&amp;T106&amp;T107&amp;T108&amp;T109&amp;T110&amp;T111&amp;T112&amp;T113&amp;T114&amp;T115&amp;T116&amp;T117&amp;T118&amp;T119&amp;T120&amp;T121&amp;T122&amp;T123&amp;T124&amp;T125&amp;T126&amp;T127&amp;T128&amp;T129&amp;T130&amp;T131&amp;T132&amp;T133&amp;T134&amp;T135&amp;T136&amp;T137&amp;T138&amp;T139&amp;T140&amp;T141&amp;T142&amp;T143&amp;T144&amp;T145&amp;T146&amp;T147&amp;T148&amp;T149&amp;T150&amp;T151&amp;T152&amp;T153&amp;T154&amp;T155&amp;T156&amp;T157&amp;T158&amp;T159&amp;T160&amp;T161&amp;T162&amp;T163&amp;T164&amp;T165&amp;T166&amp;T167&amp;T168&amp;T169&amp;T170&amp;T171&amp;T172&amp;T173&amp;T174&amp;T175&amp;T176&amp;T177&amp;T178&amp;T179&amp;T180&amp;T181&amp;T182&amp;T183&amp;T184&amp;T185&amp;T186&amp;T187&amp;T188&amp;T189&amp;T190&amp;T191&amp;T192&amp;T193&amp;T194&amp;T195&amp;T196&amp;T197&amp;T198&amp;T199&amp;T200&amp;T201&amp;T202&amp;T203&amp;T204&amp;T205&amp;T206&amp;T207&amp;T208&amp;T209&amp;T210&amp;T211&amp;T212&amp;T213&amp;T214&amp;T215&amp;T216&amp;T217&amp;T218&amp;T219&amp;T220&amp;T221&amp;T222&amp;T223&amp;T224&amp;T225&amp;T226&amp;T227&amp;T228&amp;T229&amp;T230&amp;T231&amp;T232&amp;T233&amp;T234&amp;T235&amp;T236&amp;T237&amp;T238&amp;T239&amp;T240&amp;T241&amp;T242&amp;T243&amp;T244&amp;T245&amp;T246&amp;T247&amp;T248&amp;T249&amp;T250&amp;T251&amp;T252&amp;T253&amp;T254&amp;T255&amp;T256&amp;T257&amp;T258&amp;T259&amp;T260&amp;T261&amp;T262&amp;T263&amp;T264&amp;T265&amp;T266&amp;T267&amp;T268&amp;T269&amp;T270&amp;T271&amp;T272&amp;T273&amp;T274&amp;T275&amp;T276&amp;T277&amp;T278&amp;T279&amp;T280&amp;T281&amp;T282&amp;T283&amp;T284&amp;T285&amp;T286&amp;T287&amp;T288&amp;T289&amp;T290&amp;T291&amp;T292&amp;T293&amp;T294&amp;T295&amp;T296&amp;T297&amp;T298&amp;T299&amp;T300&amp;T301&amp;T302&amp;T303&amp;T304&amp;T305&amp;T306&amp;T307&amp;T308&amp;T309&amp;T310&amp;T311&amp;T312&amp;T313&amp;T314&amp;T315&amp;T316&amp;T317&amp;T318&amp;T319&amp;T320&amp;T321&amp;T322&amp;T323&amp;T324&amp;T325&amp;T326&amp;T327&amp;T328&amp;T329&amp;T330&amp;T331&amp;T332&amp;T333&amp;T334&amp;T335&amp;T336&amp;T337&amp;T338&amp;T339&amp;T340&amp;T341&amp;T342&amp;T343&amp;T344&amp;T345&amp;T346&amp;T347&amp;T348&amp;T349&amp;T350&amp;T351&amp;T352&amp;T353&amp;T354&amp;T355&amp;T356&amp;T357&amp;T358&amp;T359&amp;T360&amp;T361&amp;T362&amp;T363&amp;T364&amp;T365&amp;T366&amp;T367&amp;T368&amp;T369&amp;T370&amp;T371&amp;T372&amp;T373&amp;T374&amp;T375&amp;T376&amp;T377&amp;T378&amp;T379&amp;T380&amp;T381&amp;T382&amp;T383&amp;T384&amp;T385&amp;T386&amp;T387&amp;T388&amp;T389&amp;T390&amp;T391&amp;T392&amp;T393&amp;T394&amp;T395&amp;T396&amp;T397&amp;T398&amp;T399&amp;T400&amp;T401&amp;T402&amp;T403&amp;T404&amp;T405&amp;T406&amp;T407&amp;T409&amp;T410,"  ",""),"""",CHAR(34)),CHAR(34)&amp;CHAR(34),CHAR(34)),"}}","}"&amp;CHAR(10)&amp;"}"),"}}","}"&amp;CHAR(10)&amp;"}"),",",","&amp;CHAR(10)),"}}","}"&amp;CHAR(10)&amp;"}"),"]}","]"&amp;CHAR(10)&amp;"}"),"}]","}"&amp;CHAR(10)&amp;"]"),"{",CHAR(10)&amp;"{"),"[",CHAR(10)&amp;"["),CHAR(10)&amp;CHAR(10),CHAR(10))</f>
        <v xml:space="preserve">
{"name":"My New Theme",
"dataColors":
["#4472C4",
"#ED7D31",
"#A5A5A5",
"#FFC000",
"#5B9BD5",
"#70AD47",
"#000000",
"#FFFFFF",
"#44546A",
"#E7E6E6",
"#0563C1",
"#954F72"],
"background":"#FFFFFF",
"foreground":"#5B9BD5",
"tableAccent":"#FFC000",
"visualStyles":
{"*":
{"*":
{"*":
[
{"fontSize":9,
"fontFamily":"Trebuchet MS",
"color":
{"solid":
{"color":"#44546A"}
},
"wordWrap":
[
{"show":true}
],
"bubbles":
[
{"bubbleSize":20}
]
}
]
}
},
"pivotTable":
{"*":
{"columnHeaders":
[
{"backColor":"#44546A"},
{"fontColor":"#FFFFFF"}
]
}
}
}
}</v>
      </c>
      <c r="AB3" s="21"/>
    </row>
    <row r="4" spans="1:28" x14ac:dyDescent="0.25">
      <c r="A4" s="21"/>
      <c r="B4" s="136"/>
      <c r="C4" s="125"/>
      <c r="D4" s="126"/>
      <c r="E4" s="127"/>
      <c r="F4" s="128"/>
      <c r="G4" s="129"/>
      <c r="H4" s="130"/>
      <c r="I4" s="3"/>
      <c r="J4" s="70"/>
      <c r="K4" s="63"/>
      <c r="L4" s="63"/>
      <c r="M4" s="65"/>
      <c r="N4" s="65"/>
      <c r="O4" s="65"/>
      <c r="P4" s="65"/>
      <c r="Q4" s="75"/>
      <c r="R4" s="5"/>
      <c r="S4" s="5"/>
      <c r="T4" s="76"/>
      <c r="U4" s="5"/>
      <c r="V4" s="5"/>
      <c r="W4" s="77"/>
      <c r="X4" s="65"/>
      <c r="Y4" s="78"/>
      <c r="Z4" s="21"/>
      <c r="AA4" s="138"/>
      <c r="AB4" s="21"/>
    </row>
    <row r="5" spans="1:28" ht="14.45" hidden="1" customHeight="1" x14ac:dyDescent="0.25">
      <c r="A5" s="21"/>
      <c r="B5" s="136"/>
      <c r="C5" s="102">
        <f>HEX2DEC(RIGHT(C8,2))</f>
        <v>196</v>
      </c>
      <c r="D5" s="104">
        <f t="shared" ref="D5:H5" si="0">HEX2DEC(RIGHT(D8,2))</f>
        <v>49</v>
      </c>
      <c r="E5" s="104">
        <f t="shared" si="0"/>
        <v>165</v>
      </c>
      <c r="F5" s="104">
        <f t="shared" si="0"/>
        <v>0</v>
      </c>
      <c r="G5" s="104">
        <f t="shared" si="0"/>
        <v>213</v>
      </c>
      <c r="H5" s="107">
        <f t="shared" si="0"/>
        <v>71</v>
      </c>
      <c r="I5" s="3"/>
      <c r="J5" s="70"/>
      <c r="K5" s="63"/>
      <c r="L5" s="63"/>
      <c r="M5" s="65"/>
      <c r="N5" s="65"/>
      <c r="O5" s="65"/>
      <c r="P5" s="65"/>
      <c r="Q5" s="75"/>
      <c r="R5" s="5"/>
      <c r="S5" s="5"/>
      <c r="T5" s="76"/>
      <c r="U5" s="5"/>
      <c r="V5" s="5"/>
      <c r="W5" s="77"/>
      <c r="X5" s="65"/>
      <c r="Y5" s="78"/>
      <c r="Z5" s="21"/>
      <c r="AA5" s="138"/>
      <c r="AB5" s="21"/>
    </row>
    <row r="6" spans="1:28" ht="14.45" hidden="1" customHeight="1" x14ac:dyDescent="0.25">
      <c r="A6" s="21"/>
      <c r="B6" s="136"/>
      <c r="C6" s="106">
        <f>HEX2DEC(MID(C8,4,2))</f>
        <v>114</v>
      </c>
      <c r="D6" s="104">
        <f t="shared" ref="D6:H6" si="1">HEX2DEC(MID(D8,4,2))</f>
        <v>125</v>
      </c>
      <c r="E6" s="104">
        <f t="shared" si="1"/>
        <v>165</v>
      </c>
      <c r="F6" s="104">
        <f t="shared" si="1"/>
        <v>192</v>
      </c>
      <c r="G6" s="104">
        <f t="shared" si="1"/>
        <v>155</v>
      </c>
      <c r="H6" s="107">
        <f t="shared" si="1"/>
        <v>173</v>
      </c>
      <c r="I6" s="3"/>
      <c r="J6" s="70"/>
      <c r="K6" s="63"/>
      <c r="L6" s="63"/>
      <c r="M6" s="65"/>
      <c r="N6" s="65"/>
      <c r="O6" s="65"/>
      <c r="P6" s="65"/>
      <c r="Q6" s="75"/>
      <c r="R6" s="5"/>
      <c r="S6" s="5"/>
      <c r="T6" s="76"/>
      <c r="U6" s="5"/>
      <c r="V6" s="5"/>
      <c r="W6" s="77"/>
      <c r="X6" s="65"/>
      <c r="Y6" s="78"/>
      <c r="Z6" s="21"/>
      <c r="AA6" s="138"/>
      <c r="AB6" s="21"/>
    </row>
    <row r="7" spans="1:28" ht="14.45" hidden="1" customHeight="1" x14ac:dyDescent="0.25">
      <c r="A7" s="21"/>
      <c r="B7" s="136"/>
      <c r="C7" s="106">
        <f>HEX2DEC(MID(C8,2,2))</f>
        <v>68</v>
      </c>
      <c r="D7" s="104">
        <f t="shared" ref="D7:H7" si="2">HEX2DEC(MID(D8,2,2))</f>
        <v>237</v>
      </c>
      <c r="E7" s="104">
        <f t="shared" si="2"/>
        <v>165</v>
      </c>
      <c r="F7" s="104">
        <f t="shared" si="2"/>
        <v>255</v>
      </c>
      <c r="G7" s="104">
        <f t="shared" si="2"/>
        <v>91</v>
      </c>
      <c r="H7" s="107">
        <f t="shared" si="2"/>
        <v>112</v>
      </c>
      <c r="I7" s="3"/>
      <c r="J7" s="70"/>
      <c r="K7" s="63"/>
      <c r="L7" s="63"/>
      <c r="M7" s="65"/>
      <c r="N7" s="65"/>
      <c r="O7" s="65"/>
      <c r="P7" s="65"/>
      <c r="Q7" s="75"/>
      <c r="R7" s="5"/>
      <c r="S7" s="5"/>
      <c r="T7" s="76"/>
      <c r="U7" s="5"/>
      <c r="V7" s="5"/>
      <c r="W7" s="77"/>
      <c r="X7" s="65"/>
      <c r="Y7" s="78"/>
      <c r="Z7" s="21"/>
      <c r="AA7" s="138"/>
      <c r="AB7" s="21"/>
    </row>
    <row r="8" spans="1:28" ht="15" customHeight="1" thickBot="1" x14ac:dyDescent="0.3">
      <c r="A8" s="21"/>
      <c r="B8" s="136"/>
      <c r="C8" s="52" t="s">
        <v>562</v>
      </c>
      <c r="D8" s="53" t="s">
        <v>563</v>
      </c>
      <c r="E8" s="53" t="s">
        <v>564</v>
      </c>
      <c r="F8" s="53" t="s">
        <v>565</v>
      </c>
      <c r="G8" s="53" t="s">
        <v>566</v>
      </c>
      <c r="H8" s="54" t="s">
        <v>567</v>
      </c>
      <c r="I8" s="6"/>
      <c r="J8" s="70"/>
      <c r="K8" s="63"/>
      <c r="L8" s="63"/>
      <c r="M8" s="65"/>
      <c r="O8" s="65"/>
      <c r="P8" s="65"/>
      <c r="Q8" s="142" t="str">
        <f>"""dataColors"":["&amp;IF(C8="","",""""&amp;C8&amp;""",")&amp;IF(D8="","",""""&amp;D8&amp;""",")&amp;IF(E8="","",""""&amp;E8&amp;""",")&amp;IF(F8="","",""""&amp;F8&amp;""",")&amp;IF(G8="","",""""&amp;G8&amp;""",")&amp;IF(H8="","",""""&amp;H8&amp;""",")&amp;IF(C9="","",""""&amp;C9&amp;""",")&amp;IF(D9="","",""""&amp;D9&amp;""",")&amp;IF(E9="","",""""&amp;E9&amp;""",")&amp;IF(F9="","",""""&amp;F9&amp;""",")&amp;IF(G9="","",""""&amp;G9&amp;""",")&amp;IF(H9="","",""""&amp;H9&amp;""",")</f>
        <v>"dataColors":["#4472C4","#ED7D31","#A5A5A5","#FFC000","#5B9BD5","#70AD47","#000000","#FFFFFF","#44546A","#E7E6E6","#0563C1","#954F72",</v>
      </c>
      <c r="R8" s="67"/>
      <c r="S8" s="67"/>
      <c r="T8" s="137" t="str">
        <f>LEFT(Q8,LEN(Q8)-1)&amp;"],"</f>
        <v>"dataColors":["#4472C4","#ED7D31","#A5A5A5","#FFC000","#5B9BD5","#70AD47","#000000","#FFFFFF","#44546A","#E7E6E6","#0563C1","#954F72"],</v>
      </c>
      <c r="U8" s="5">
        <f>SUMPRODUCT(LEN($T8)-LEN(SUBSTITUTE($T8,U$2,"")))</f>
        <v>0</v>
      </c>
      <c r="V8" s="5">
        <f>SUMPRODUCT(LEN($T8)-LEN(SUBSTITUTE($T8,V$2,"")))</f>
        <v>0</v>
      </c>
      <c r="W8" s="77"/>
      <c r="X8" s="65"/>
      <c r="Y8" s="78"/>
      <c r="Z8" s="21"/>
      <c r="AA8" s="138"/>
      <c r="AB8" s="21"/>
    </row>
    <row r="9" spans="1:28" ht="15.75" thickBot="1" x14ac:dyDescent="0.3">
      <c r="A9" s="21"/>
      <c r="B9" s="136"/>
      <c r="C9" s="52" t="s">
        <v>559</v>
      </c>
      <c r="D9" s="53" t="s">
        <v>546</v>
      </c>
      <c r="E9" s="53" t="s">
        <v>560</v>
      </c>
      <c r="F9" s="53" t="s">
        <v>561</v>
      </c>
      <c r="G9" s="55" t="s">
        <v>568</v>
      </c>
      <c r="H9" s="56" t="s">
        <v>569</v>
      </c>
      <c r="I9" s="6"/>
      <c r="J9" s="70"/>
      <c r="K9" s="63"/>
      <c r="L9" s="63"/>
      <c r="M9" s="65"/>
      <c r="N9" s="65"/>
      <c r="O9" s="65"/>
      <c r="P9" s="65"/>
      <c r="Q9" s="142"/>
      <c r="R9" s="67"/>
      <c r="S9" s="67"/>
      <c r="T9" s="137"/>
      <c r="U9" s="5"/>
      <c r="V9" s="5"/>
      <c r="W9" s="77"/>
      <c r="X9" s="65"/>
      <c r="Y9" s="78"/>
      <c r="Z9" s="21"/>
      <c r="AA9" s="138"/>
      <c r="AB9" s="21"/>
    </row>
    <row r="10" spans="1:28" hidden="1" x14ac:dyDescent="0.25">
      <c r="A10" s="21"/>
      <c r="B10" s="3"/>
      <c r="C10" s="102">
        <f>HEX2DEC(RIGHT(C9,2))</f>
        <v>0</v>
      </c>
      <c r="D10" s="103">
        <f t="shared" ref="D10:H10" si="3">HEX2DEC(RIGHT(D9,2))</f>
        <v>255</v>
      </c>
      <c r="E10" s="103">
        <f t="shared" si="3"/>
        <v>106</v>
      </c>
      <c r="F10" s="103">
        <f t="shared" si="3"/>
        <v>230</v>
      </c>
      <c r="G10" s="104">
        <f t="shared" si="3"/>
        <v>193</v>
      </c>
      <c r="H10" s="105">
        <f t="shared" si="3"/>
        <v>114</v>
      </c>
      <c r="I10" s="6"/>
      <c r="J10" s="70"/>
      <c r="K10" s="63"/>
      <c r="L10" s="63"/>
      <c r="M10" s="65"/>
      <c r="N10" s="65"/>
      <c r="O10" s="65"/>
      <c r="P10" s="65"/>
      <c r="Q10" s="142"/>
      <c r="R10" s="67"/>
      <c r="S10" s="67"/>
      <c r="T10" s="137"/>
      <c r="U10" s="5"/>
      <c r="V10" s="5"/>
      <c r="W10" s="77"/>
      <c r="X10" s="65"/>
      <c r="Y10" s="78"/>
      <c r="Z10" s="21"/>
      <c r="AA10" s="138"/>
      <c r="AB10" s="21"/>
    </row>
    <row r="11" spans="1:28" hidden="1" x14ac:dyDescent="0.25">
      <c r="A11" s="21"/>
      <c r="B11" s="3"/>
      <c r="C11" s="102">
        <f>HEX2DEC(MID(C9,4,2))</f>
        <v>0</v>
      </c>
      <c r="D11" s="103">
        <f t="shared" ref="D11:H11" si="4">HEX2DEC(MID(D9,4,2))</f>
        <v>255</v>
      </c>
      <c r="E11" s="103">
        <f t="shared" si="4"/>
        <v>84</v>
      </c>
      <c r="F11" s="103">
        <f t="shared" si="4"/>
        <v>230</v>
      </c>
      <c r="G11" s="104">
        <f t="shared" si="4"/>
        <v>99</v>
      </c>
      <c r="H11" s="105">
        <f t="shared" si="4"/>
        <v>79</v>
      </c>
      <c r="I11" s="6"/>
      <c r="J11" s="70"/>
      <c r="K11" s="63"/>
      <c r="L11" s="63"/>
      <c r="M11" s="65"/>
      <c r="N11" s="65"/>
      <c r="O11" s="65"/>
      <c r="P11" s="65"/>
      <c r="Q11" s="142"/>
      <c r="R11" s="67"/>
      <c r="S11" s="67"/>
      <c r="T11" s="137"/>
      <c r="U11" s="5"/>
      <c r="V11" s="5"/>
      <c r="W11" s="77"/>
      <c r="X11" s="65"/>
      <c r="Y11" s="78"/>
      <c r="Z11" s="21"/>
      <c r="AA11" s="138"/>
      <c r="AB11" s="21"/>
    </row>
    <row r="12" spans="1:28" hidden="1" x14ac:dyDescent="0.25">
      <c r="A12" s="21"/>
      <c r="B12" s="3"/>
      <c r="C12" s="102">
        <f>HEX2DEC(MID(C9,2,2))</f>
        <v>0</v>
      </c>
      <c r="D12" s="103">
        <f t="shared" ref="D12:H12" si="5">HEX2DEC(MID(D9,2,2))</f>
        <v>255</v>
      </c>
      <c r="E12" s="103">
        <f t="shared" si="5"/>
        <v>68</v>
      </c>
      <c r="F12" s="103">
        <f t="shared" si="5"/>
        <v>231</v>
      </c>
      <c r="G12" s="104">
        <f t="shared" si="5"/>
        <v>5</v>
      </c>
      <c r="H12" s="105">
        <f t="shared" si="5"/>
        <v>149</v>
      </c>
      <c r="I12" s="6"/>
      <c r="J12" s="70"/>
      <c r="K12" s="63"/>
      <c r="L12" s="63"/>
      <c r="M12" s="65"/>
      <c r="N12" s="65"/>
      <c r="O12" s="65"/>
      <c r="P12" s="65"/>
      <c r="Q12" s="142"/>
      <c r="R12" s="67"/>
      <c r="S12" s="67"/>
      <c r="T12" s="137"/>
      <c r="U12" s="5"/>
      <c r="V12" s="5"/>
      <c r="W12" s="77"/>
      <c r="X12" s="65"/>
      <c r="Y12" s="78"/>
      <c r="Z12" s="21"/>
      <c r="AA12" s="138"/>
      <c r="AB12" s="21"/>
    </row>
    <row r="13" spans="1:28" ht="15.75" thickBot="1" x14ac:dyDescent="0.3">
      <c r="A13" s="21"/>
      <c r="B13" s="50"/>
      <c r="C13" s="122"/>
      <c r="D13" s="120"/>
      <c r="E13" s="123"/>
      <c r="F13" s="124"/>
      <c r="G13" s="131"/>
      <c r="H13" s="132"/>
      <c r="I13" s="49"/>
      <c r="J13" s="70"/>
      <c r="K13" s="63"/>
      <c r="L13" s="63"/>
      <c r="M13" s="65"/>
      <c r="N13" s="65"/>
      <c r="O13" s="65"/>
      <c r="P13" s="65"/>
      <c r="Q13" s="142"/>
      <c r="R13" s="67"/>
      <c r="S13" s="67"/>
      <c r="T13" s="137"/>
      <c r="U13" s="5"/>
      <c r="V13" s="5"/>
      <c r="W13" s="77"/>
      <c r="X13" s="65"/>
      <c r="Y13" s="78"/>
      <c r="Z13" s="21"/>
      <c r="AA13" s="138"/>
      <c r="AB13" s="21"/>
    </row>
    <row r="14" spans="1:28" x14ac:dyDescent="0.25">
      <c r="A14" s="21"/>
      <c r="B14" s="3"/>
      <c r="C14" s="4"/>
      <c r="D14" s="4"/>
      <c r="E14" s="4"/>
      <c r="F14" s="4"/>
      <c r="G14" s="4"/>
      <c r="H14" s="4"/>
      <c r="I14" s="6"/>
      <c r="J14" s="63"/>
      <c r="K14" s="63"/>
      <c r="L14" s="63"/>
      <c r="M14" s="65"/>
      <c r="N14" s="65"/>
      <c r="O14" s="65"/>
      <c r="P14" s="65"/>
      <c r="Q14" s="142"/>
      <c r="R14" s="67"/>
      <c r="S14" s="67"/>
      <c r="T14" s="137"/>
      <c r="U14" s="5"/>
      <c r="V14" s="5"/>
      <c r="W14" s="77"/>
      <c r="X14" s="68"/>
      <c r="Y14" s="78"/>
      <c r="Z14" s="24"/>
      <c r="AA14" s="138"/>
      <c r="AB14" s="24"/>
    </row>
    <row r="15" spans="1:28" ht="30.75" thickBot="1" x14ac:dyDescent="0.3">
      <c r="A15" s="21"/>
      <c r="B15" s="57" t="s">
        <v>179</v>
      </c>
      <c r="C15" s="100" t="s">
        <v>180</v>
      </c>
      <c r="D15" s="58" t="s">
        <v>532</v>
      </c>
      <c r="E15" s="100" t="s">
        <v>59</v>
      </c>
      <c r="F15" s="58" t="s">
        <v>48</v>
      </c>
      <c r="G15" s="100" t="s">
        <v>60</v>
      </c>
      <c r="H15" s="59" t="s">
        <v>531</v>
      </c>
      <c r="I15" s="59" t="s">
        <v>49</v>
      </c>
      <c r="J15" s="64" t="s">
        <v>544</v>
      </c>
      <c r="K15" s="64" t="s">
        <v>545</v>
      </c>
      <c r="L15" s="64" t="s">
        <v>303</v>
      </c>
      <c r="M15" s="66" t="s">
        <v>62</v>
      </c>
      <c r="N15" s="64" t="s">
        <v>536</v>
      </c>
      <c r="O15" s="64" t="s">
        <v>537</v>
      </c>
      <c r="P15" s="66"/>
      <c r="Q15" s="75"/>
      <c r="R15" s="5"/>
      <c r="S15" s="5"/>
      <c r="T15" s="76"/>
      <c r="U15" s="5">
        <f t="shared" ref="U15:V23" si="6">SUMPRODUCT(LEN($T15)-LEN(SUBSTITUTE($T15,U$2,"")))</f>
        <v>0</v>
      </c>
      <c r="V15" s="5">
        <f t="shared" si="6"/>
        <v>0</v>
      </c>
      <c r="W15" s="77" t="s">
        <v>552</v>
      </c>
      <c r="X15" s="65" t="s">
        <v>553</v>
      </c>
      <c r="Y15" s="78" t="s">
        <v>554</v>
      </c>
      <c r="Z15" s="21"/>
      <c r="AA15" s="138"/>
      <c r="AB15" s="21"/>
    </row>
    <row r="16" spans="1:28" ht="54" customHeight="1" thickTop="1" x14ac:dyDescent="0.25">
      <c r="A16" s="21"/>
      <c r="B16" s="115" t="s">
        <v>507</v>
      </c>
      <c r="C16" s="143" t="s">
        <v>556</v>
      </c>
      <c r="D16" s="144"/>
      <c r="E16" s="144"/>
      <c r="F16" s="144"/>
      <c r="G16" s="144"/>
      <c r="H16" s="144" t="s">
        <v>548</v>
      </c>
      <c r="I16" s="144"/>
      <c r="J16" s="64"/>
      <c r="K16" s="64"/>
      <c r="L16" s="64"/>
      <c r="M16" s="66"/>
      <c r="N16" s="66"/>
      <c r="O16" s="66"/>
      <c r="P16" s="66"/>
      <c r="Q16" s="75"/>
      <c r="R16" s="5"/>
      <c r="S16" s="5"/>
      <c r="T16" s="76"/>
      <c r="U16" s="5">
        <f t="shared" si="6"/>
        <v>0</v>
      </c>
      <c r="V16" s="5">
        <f t="shared" si="6"/>
        <v>0</v>
      </c>
      <c r="W16" s="77"/>
      <c r="X16" s="65"/>
      <c r="Y16" s="78"/>
      <c r="Z16" s="21"/>
      <c r="AA16" s="138"/>
      <c r="AB16" s="21"/>
    </row>
    <row r="17" spans="1:28" x14ac:dyDescent="0.25">
      <c r="A17" s="21"/>
      <c r="B17" s="11"/>
      <c r="C17" s="84"/>
      <c r="D17" s="7"/>
      <c r="E17" s="84"/>
      <c r="F17" s="82" t="s">
        <v>206</v>
      </c>
      <c r="G17" s="84" t="s">
        <v>3</v>
      </c>
      <c r="H17" s="101" t="s">
        <v>546</v>
      </c>
      <c r="I17" s="9"/>
      <c r="J17" s="63"/>
      <c r="K17" s="63"/>
      <c r="L17" s="63" t="s">
        <v>104</v>
      </c>
      <c r="M17" s="65" t="str">
        <f>IF(OR(L17="",L17="fill"),"",MATCH(IF(L17="enumeration",J17&amp;"|"&amp;G17,Design!L17),Elements!N:N,0))</f>
        <v/>
      </c>
      <c r="N17" s="65" t="str">
        <f t="shared" ref="N17:N80" si="7">IF(G17="","",IFERROR(IF(L17="fill","Design!$C$8:$H$9",IF(M17="","Design!$A$1","Elements!O"&amp;M17&amp;":AZ"&amp;M17)),"Design!$A$1"))</f>
        <v>Design!$C$8:$H$9</v>
      </c>
      <c r="O17" s="65"/>
      <c r="P17" s="65"/>
      <c r="Q17" s="75"/>
      <c r="R17" s="5"/>
      <c r="S17" s="5"/>
      <c r="T17" s="76" t="str">
        <f>""""&amp;G17&amp;""":"""&amp;H17&amp;""","</f>
        <v>"background":"#FFFFFF",</v>
      </c>
      <c r="U17" s="5">
        <f t="shared" si="6"/>
        <v>0</v>
      </c>
      <c r="V17" s="5">
        <f t="shared" si="6"/>
        <v>0</v>
      </c>
      <c r="W17" s="77">
        <f>IF(LEFT(H17,1)&lt;&gt;"#","",HEX2DEC(RIGHT(H17,2)))</f>
        <v>255</v>
      </c>
      <c r="X17" s="65">
        <f>IF(LEFT(H17,1)&lt;&gt;"#","",HEX2DEC(MID(H17,4,2)))</f>
        <v>255</v>
      </c>
      <c r="Y17" s="78">
        <f>IF(LEFT(H17,1)&lt;&gt;"#","",HEX2DEC(MID(H17,2,2)))</f>
        <v>255</v>
      </c>
      <c r="Z17" s="21"/>
      <c r="AA17" s="138"/>
      <c r="AB17" s="21"/>
    </row>
    <row r="18" spans="1:28" x14ac:dyDescent="0.25">
      <c r="A18" s="21"/>
      <c r="B18" s="10"/>
      <c r="C18" s="85"/>
      <c r="D18" s="8"/>
      <c r="E18" s="85"/>
      <c r="F18" s="83" t="s">
        <v>204</v>
      </c>
      <c r="G18" s="84" t="s">
        <v>2</v>
      </c>
      <c r="H18" s="133" t="s">
        <v>566</v>
      </c>
      <c r="I18" s="9"/>
      <c r="J18" s="63"/>
      <c r="K18" s="63"/>
      <c r="L18" s="63" t="s">
        <v>104</v>
      </c>
      <c r="M18" s="65" t="str">
        <f>IF(OR(L18="",L18="fill"),"",MATCH(IF(L18="enumeration",J18&amp;"|"&amp;G18,Design!L18),Elements!N:N,0))</f>
        <v/>
      </c>
      <c r="N18" s="65" t="str">
        <f t="shared" si="7"/>
        <v>Design!$C$8:$H$9</v>
      </c>
      <c r="O18" s="65"/>
      <c r="P18" s="65"/>
      <c r="Q18" s="75"/>
      <c r="R18" s="5"/>
      <c r="S18" s="5"/>
      <c r="T18" s="76" t="str">
        <f>""""&amp;G18&amp;""":"""&amp;H18&amp;""","</f>
        <v>"foreground":"#5B9BD5",</v>
      </c>
      <c r="U18" s="5">
        <f t="shared" si="6"/>
        <v>0</v>
      </c>
      <c r="V18" s="5">
        <f t="shared" si="6"/>
        <v>0</v>
      </c>
      <c r="W18" s="77">
        <f t="shared" ref="W18:W81" si="8">IF(LEFT(H18,1)&lt;&gt;"#","",HEX2DEC(RIGHT(H18,2)))</f>
        <v>213</v>
      </c>
      <c r="X18" s="65">
        <f t="shared" ref="X18:X81" si="9">IF(LEFT(H18,1)&lt;&gt;"#","",HEX2DEC(MID(H18,4,2)))</f>
        <v>155</v>
      </c>
      <c r="Y18" s="78">
        <f t="shared" ref="Y18:Y81" si="10">IF(LEFT(H18,1)&lt;&gt;"#","",HEX2DEC(MID(H18,2,2)))</f>
        <v>91</v>
      </c>
      <c r="Z18" s="21"/>
      <c r="AA18" s="138"/>
      <c r="AB18" s="21"/>
    </row>
    <row r="19" spans="1:28" ht="30" x14ac:dyDescent="0.25">
      <c r="A19" s="21"/>
      <c r="B19" s="10"/>
      <c r="C19" s="85"/>
      <c r="D19" s="8"/>
      <c r="E19" s="85"/>
      <c r="F19" s="83" t="s">
        <v>0</v>
      </c>
      <c r="G19" s="84" t="s">
        <v>1</v>
      </c>
      <c r="H19" s="119" t="s">
        <v>565</v>
      </c>
      <c r="I19" s="9"/>
      <c r="J19" s="63"/>
      <c r="K19" s="63"/>
      <c r="L19" s="63" t="s">
        <v>104</v>
      </c>
      <c r="M19" s="65" t="str">
        <f>IF(OR(L19="",L19="fill"),"",MATCH(IF(L19="enumeration",J19&amp;"|"&amp;G19,Design!L19),Elements!N:N,0))</f>
        <v/>
      </c>
      <c r="N19" s="65" t="str">
        <f t="shared" si="7"/>
        <v>Design!$C$8:$H$9</v>
      </c>
      <c r="O19" s="65"/>
      <c r="P19" s="65"/>
      <c r="Q19" s="75"/>
      <c r="R19" s="5"/>
      <c r="S19" s="5"/>
      <c r="T19" s="76" t="str">
        <f>""""&amp;G19&amp;""":"""&amp;H19&amp;""","</f>
        <v>"tableAccent":"#FFC000",</v>
      </c>
      <c r="U19" s="5">
        <f t="shared" si="6"/>
        <v>0</v>
      </c>
      <c r="V19" s="5">
        <f t="shared" si="6"/>
        <v>0</v>
      </c>
      <c r="W19" s="77">
        <f t="shared" si="8"/>
        <v>0</v>
      </c>
      <c r="X19" s="65">
        <f t="shared" si="9"/>
        <v>192</v>
      </c>
      <c r="Y19" s="78">
        <f t="shared" si="10"/>
        <v>255</v>
      </c>
      <c r="Z19" s="21"/>
      <c r="AA19" s="138"/>
      <c r="AB19" s="21"/>
    </row>
    <row r="20" spans="1:28" x14ac:dyDescent="0.25">
      <c r="A20" s="21"/>
      <c r="B20" s="10"/>
      <c r="C20" s="85"/>
      <c r="D20" s="8"/>
      <c r="E20" s="85"/>
      <c r="F20" s="83" t="s">
        <v>16</v>
      </c>
      <c r="G20" s="84" t="s">
        <v>4</v>
      </c>
      <c r="H20" s="1">
        <v>9</v>
      </c>
      <c r="I20" s="9"/>
      <c r="J20" s="63"/>
      <c r="K20" s="63"/>
      <c r="L20" s="63" t="s">
        <v>4</v>
      </c>
      <c r="M20" s="65">
        <f>IF(OR(L20="",L20="fill"),"",MATCH(IF(L20="enumeration",J20&amp;"|"&amp;G20,Design!L20),Elements!N:N,0))</f>
        <v>3</v>
      </c>
      <c r="N20" s="65" t="str">
        <f t="shared" si="7"/>
        <v>Elements!O3:AZ3</v>
      </c>
      <c r="O20" s="65"/>
      <c r="P20" s="65"/>
      <c r="Q20" s="75"/>
      <c r="R20" s="5"/>
      <c r="S20" s="5"/>
      <c r="T20" s="76" t="str">
        <f>"""visualStyles"":{""*"":{""*"":{""*"":[{""fontSize"":"&amp;H20&amp;","</f>
        <v>"visualStyles":{"*":{"*":{"*":[{"fontSize":9,</v>
      </c>
      <c r="U20" s="5">
        <f t="shared" si="6"/>
        <v>4</v>
      </c>
      <c r="V20" s="5">
        <f t="shared" si="6"/>
        <v>0</v>
      </c>
      <c r="W20" s="77" t="str">
        <f t="shared" si="8"/>
        <v/>
      </c>
      <c r="X20" s="65" t="str">
        <f t="shared" si="9"/>
        <v/>
      </c>
      <c r="Y20" s="78" t="str">
        <f t="shared" si="10"/>
        <v/>
      </c>
      <c r="Z20" s="21"/>
      <c r="AA20" s="138"/>
      <c r="AB20" s="21"/>
    </row>
    <row r="21" spans="1:28" x14ac:dyDescent="0.25">
      <c r="A21" s="21"/>
      <c r="B21" s="10"/>
      <c r="C21" s="85"/>
      <c r="D21" s="8"/>
      <c r="E21" s="85"/>
      <c r="F21" s="83" t="s">
        <v>17</v>
      </c>
      <c r="G21" s="84" t="str">
        <f>IFERROR(IF(F21="","",INDEX(Elements!L:L,MATCH(Design!F21,Elements!K:K,0))),F21)</f>
        <v>fontFamily</v>
      </c>
      <c r="H21" s="1" t="s">
        <v>523</v>
      </c>
      <c r="I21" s="9"/>
      <c r="J21" s="63"/>
      <c r="K21" s="63"/>
      <c r="L21" s="63" t="s">
        <v>5</v>
      </c>
      <c r="M21" s="65">
        <f>IF(OR(L21="",L21="fill"),"",MATCH(IF(L21="enumeration",J21&amp;"|"&amp;G21,Design!L21),Elements!N:N,0))</f>
        <v>2</v>
      </c>
      <c r="N21" s="65" t="str">
        <f t="shared" si="7"/>
        <v>Elements!O2:AZ2</v>
      </c>
      <c r="O21" s="65"/>
      <c r="P21" s="65"/>
      <c r="Q21" s="75"/>
      <c r="R21" s="5"/>
      <c r="S21" s="5"/>
      <c r="T21" s="76" t="str">
        <f>""""&amp;G21&amp;""":"""&amp;H21&amp;""","</f>
        <v>"fontFamily":"Trebuchet MS",</v>
      </c>
      <c r="U21" s="5">
        <f t="shared" si="6"/>
        <v>0</v>
      </c>
      <c r="V21" s="5">
        <f t="shared" si="6"/>
        <v>0</v>
      </c>
      <c r="W21" s="77" t="str">
        <f t="shared" si="8"/>
        <v/>
      </c>
      <c r="X21" s="65" t="str">
        <f t="shared" si="9"/>
        <v/>
      </c>
      <c r="Y21" s="78" t="str">
        <f t="shared" si="10"/>
        <v/>
      </c>
      <c r="Z21" s="21"/>
      <c r="AA21" s="138"/>
      <c r="AB21" s="21"/>
    </row>
    <row r="22" spans="1:28" ht="15.75" thickBot="1" x14ac:dyDescent="0.3">
      <c r="A22" s="21"/>
      <c r="B22" s="89"/>
      <c r="C22" s="97"/>
      <c r="D22" s="90"/>
      <c r="E22" s="97"/>
      <c r="F22" s="91" t="s">
        <v>205</v>
      </c>
      <c r="G22" s="97" t="str">
        <f>IFERROR(IF(F22="","",INDEX(Elements!L:L,MATCH(Design!F22,Elements!K:K,0))),F22)</f>
        <v>fontColor</v>
      </c>
      <c r="H22" s="134" t="s">
        <v>560</v>
      </c>
      <c r="I22" s="90"/>
      <c r="J22" s="63"/>
      <c r="K22" s="63"/>
      <c r="L22" s="63" t="s">
        <v>104</v>
      </c>
      <c r="M22" s="65" t="str">
        <f>IF(OR(L22="",L22="fill"),"",MATCH(IF(L22="enumeration",J22&amp;"|"&amp;G22,Design!L22),Elements!N:N,0))</f>
        <v/>
      </c>
      <c r="N22" s="65" t="str">
        <f t="shared" si="7"/>
        <v>Design!$C$8:$H$9</v>
      </c>
      <c r="O22" s="65"/>
      <c r="P22" s="65"/>
      <c r="Q22" s="75"/>
      <c r="R22" s="5"/>
      <c r="S22" s="5"/>
      <c r="T22" s="76" t="str">
        <f>"""color"":{""solid"":{""color"":"""&amp;H22&amp;"""}}"</f>
        <v>"color":{"solid":{"color":"#44546A"}}</v>
      </c>
      <c r="U22" s="5">
        <f t="shared" si="6"/>
        <v>2</v>
      </c>
      <c r="V22" s="5">
        <f t="shared" si="6"/>
        <v>2</v>
      </c>
      <c r="W22" s="77">
        <f t="shared" si="8"/>
        <v>106</v>
      </c>
      <c r="X22" s="65">
        <f t="shared" si="9"/>
        <v>84</v>
      </c>
      <c r="Y22" s="78">
        <f t="shared" si="10"/>
        <v>68</v>
      </c>
      <c r="Z22" s="21"/>
      <c r="AA22" s="138"/>
      <c r="AB22" s="21"/>
    </row>
    <row r="23" spans="1:28" ht="15.75" thickTop="1" x14ac:dyDescent="0.25">
      <c r="A23" s="21"/>
      <c r="B23" s="92"/>
      <c r="C23" s="98" t="str">
        <f>IF(B23="","",INDEX(Elements!B:B,MATCH(Design!B23,Elements!A:A,0)))</f>
        <v/>
      </c>
      <c r="D23" s="93" t="s">
        <v>176</v>
      </c>
      <c r="E23" s="98" t="str">
        <f>IFERROR(IF(D23="","",INDEX(Elements!J:J,MATCH(Design!D23,Elements!I:I,0))),SUBSTITUTE(D23," ",""))</f>
        <v>wordWrap</v>
      </c>
      <c r="F23" s="94"/>
      <c r="G23" s="98" t="str">
        <f>IFERROR(IF(F23="","",INDEX(Elements!L:L,MATCH(Design!F23,Elements!K:K,0))),F23)</f>
        <v/>
      </c>
      <c r="H23" s="95"/>
      <c r="I23" s="96"/>
      <c r="J23" s="63" t="str">
        <f t="shared" ref="J23:J86" ca="1" si="11">IF(E23="",INDIRECT("J"&amp;ROW()-1),E23)</f>
        <v>wordWrap</v>
      </c>
      <c r="K23" s="63"/>
      <c r="L23" s="63" t="str">
        <f ca="1">IF(K23="fontFamily","fontFamily",IF(K23="fontSize","fontSize",IFERROR(INDEX(Elements!M:M,MATCH(Design!J23&amp;"|"&amp;Design!K23,Elements!N:N,0)),"")))</f>
        <v/>
      </c>
      <c r="M23" s="65" t="str">
        <f ca="1">IF(OR(L23="",L23="fill"),"",MATCH(IF(L23="enumeration",J23&amp;"|"&amp;G23,Design!L23),Elements!N:N,0))</f>
        <v/>
      </c>
      <c r="N23" s="65" t="str">
        <f t="shared" si="7"/>
        <v/>
      </c>
      <c r="O23" s="65"/>
      <c r="P23" s="65"/>
      <c r="Q23" s="75"/>
      <c r="R23" s="5" t="str">
        <f>IF(E23="","",","&amp;CHAR(34)&amp;E23&amp;CHAR(34)&amp;":[")</f>
        <v>,"wordWrap":[</v>
      </c>
      <c r="S23" s="5"/>
      <c r="T23" s="76" t="str">
        <f>Q23&amp;R23&amp;S23</f>
        <v>,"wordWrap":[</v>
      </c>
      <c r="U23" s="5">
        <f t="shared" si="6"/>
        <v>0</v>
      </c>
      <c r="V23" s="5">
        <f t="shared" si="6"/>
        <v>0</v>
      </c>
      <c r="W23" s="77" t="str">
        <f t="shared" si="8"/>
        <v/>
      </c>
      <c r="X23" s="65" t="str">
        <f t="shared" si="9"/>
        <v/>
      </c>
      <c r="Y23" s="78" t="str">
        <f t="shared" si="10"/>
        <v/>
      </c>
      <c r="Z23" s="21"/>
      <c r="AA23" s="138"/>
      <c r="AB23" s="21"/>
    </row>
    <row r="24" spans="1:28" x14ac:dyDescent="0.25">
      <c r="A24" s="21"/>
      <c r="B24" s="10"/>
      <c r="C24" s="85" t="str">
        <f>IF(B24="","",INDEX(Elements!B:B,MATCH(Design!B24,Elements!A:A,0)))</f>
        <v/>
      </c>
      <c r="D24" s="13"/>
      <c r="E24" s="85" t="str">
        <f>IFERROR(IF(D24="","",INDEX(Elements!J:J,MATCH(Design!D24,Elements!I:I,0))),SUBSTITUTE(D24," ",""))</f>
        <v/>
      </c>
      <c r="F24" s="13" t="s">
        <v>213</v>
      </c>
      <c r="G24" s="99" t="str">
        <f>IFERROR(IF(F24="","",INDEX(Elements!L:L,MATCH(Design!F24,Elements!K:K,0))),F24)</f>
        <v>show</v>
      </c>
      <c r="H24" s="12" t="s">
        <v>36</v>
      </c>
      <c r="I24" s="14"/>
      <c r="J24" s="63" t="str">
        <f t="shared" ca="1" si="11"/>
        <v>wordWrap</v>
      </c>
      <c r="K24" s="63" t="str">
        <f t="shared" ref="K24:K31" ca="1" si="12">IFERROR(IF(G24="",INDIRECT("I"&amp;ROW()-1),G24),"")</f>
        <v>show</v>
      </c>
      <c r="L24" s="63" t="str">
        <f ca="1">IF(K24="fontFamily","fontFamily",IF(K24="fontSize","fontSize",IFERROR(INDEX(Elements!M:M,MATCH(Design!J24&amp;"|"&amp;Design!K24,Elements!N:N,0)),"")))</f>
        <v>bool</v>
      </c>
      <c r="M24" s="65">
        <f ca="1">IF(OR(L24="",L24="fill"),"",MATCH(IF(L24="enumeration",J24&amp;"|"&amp;G24,Design!L24),Elements!N:N,0))</f>
        <v>4</v>
      </c>
      <c r="N24" s="65" t="str">
        <f t="shared" ca="1" si="7"/>
        <v>Elements!O4:AZ4</v>
      </c>
      <c r="O24" s="65" t="str">
        <f ca="1">"Elements!"&amp;INDEX(Elements!H:H,MATCH(Design!J24,Elements!J:J,0))</f>
        <v>Elements!K260:K261</v>
      </c>
      <c r="P24" s="65" t="str">
        <f ca="1">IF(OR(L24="bool",L24="numeric",L24="formatting"),"",CHAR(34))</f>
        <v/>
      </c>
      <c r="Q24" s="75"/>
      <c r="R24" s="5" t="str">
        <f>IF(AND(S23&lt;&gt;"",G24=""),"],","")&amp;IF(E24="","",CHAR(34)&amp;E24&amp;CHAR(34)&amp;":[")</f>
        <v/>
      </c>
      <c r="S24" s="5" t="str">
        <f t="shared" ref="S24:S56" ca="1" si="13">IF(G24="","",IF(G23&lt;&gt;"",",","")&amp;"{"&amp;CHAR(34)&amp;G24&amp;CHAR(34)&amp;":"&amp;P24&amp;H24&amp;I24&amp;P24&amp;"}")</f>
        <v>{"show":true}</v>
      </c>
      <c r="T24" s="76" t="str">
        <f t="shared" ref="T24:T57" ca="1" si="14">Q24&amp;R24&amp;S24</f>
        <v>{"show":true}</v>
      </c>
      <c r="U24" s="5">
        <f t="shared" ref="U24:V87" ca="1" si="15">SUMPRODUCT(LEN($T24)-LEN(SUBSTITUTE($T24,U$2,"")))</f>
        <v>1</v>
      </c>
      <c r="V24" s="5">
        <f t="shared" ca="1" si="15"/>
        <v>1</v>
      </c>
      <c r="W24" s="77" t="str">
        <f t="shared" si="8"/>
        <v/>
      </c>
      <c r="X24" s="65" t="str">
        <f t="shared" si="9"/>
        <v/>
      </c>
      <c r="Y24" s="78" t="str">
        <f t="shared" si="10"/>
        <v/>
      </c>
      <c r="Z24" s="21"/>
      <c r="AA24" s="138"/>
      <c r="AB24" s="21"/>
    </row>
    <row r="25" spans="1:28" x14ac:dyDescent="0.25">
      <c r="A25" s="21"/>
      <c r="B25" s="10"/>
      <c r="C25" s="85" t="str">
        <f>IF(B25="","",INDEX(Elements!B:B,MATCH(Design!B25,Elements!A:A,0)))</f>
        <v/>
      </c>
      <c r="D25" s="15" t="s">
        <v>140</v>
      </c>
      <c r="E25" s="85" t="str">
        <f>IFERROR(IF(D25="","",INDEX(Elements!J:J,MATCH(Design!D25,Elements!I:I,0))),SUBSTITUTE(D25," ",""))</f>
        <v>bubbles</v>
      </c>
      <c r="F25" s="15"/>
      <c r="G25" s="84" t="str">
        <f>IFERROR(IF(F25="","",INDEX(Elements!L:L,MATCH(Design!F25,Elements!K:K,0))),F25)</f>
        <v/>
      </c>
      <c r="H25" s="12"/>
      <c r="I25" s="14"/>
      <c r="J25" s="63" t="str">
        <f t="shared" ca="1" si="11"/>
        <v>bubbles</v>
      </c>
      <c r="K25" s="63">
        <f t="shared" ca="1" si="12"/>
        <v>0</v>
      </c>
      <c r="L25" s="63" t="str">
        <f ca="1">IF(K25="fontFamily","fontFamily",IF(K25="fontSize","fontSize",IFERROR(INDEX(Elements!M:M,MATCH(Design!J25&amp;"|"&amp;Design!K25,Elements!N:N,0)),"")))</f>
        <v/>
      </c>
      <c r="M25" s="65" t="str">
        <f ca="1">IF(OR(L25="",L25="fill"),"",MATCH(IF(L25="enumeration",J25&amp;"|"&amp;G25,Design!L25),Elements!N:N,0))</f>
        <v/>
      </c>
      <c r="N25" s="65" t="str">
        <f t="shared" si="7"/>
        <v/>
      </c>
      <c r="O25" s="65" t="str">
        <f ca="1">"Elements!"&amp;INDEX(Elements!H:H,MATCH(Design!J25,Elements!J:J,0))</f>
        <v>Elements!K7:K7</v>
      </c>
      <c r="P25" s="65" t="str">
        <f t="shared" ref="P25:P88" ca="1" si="16">IF(OR(L25="bool",L25="numeric",L25="formatting"),"",CHAR(34))</f>
        <v>"</v>
      </c>
      <c r="Q25" s="75"/>
      <c r="R25" s="5" t="str">
        <f ca="1">IF(AND(S24&lt;&gt;"",G25=""),"],","")&amp;IF(E25="","",CHAR(34)&amp;E25&amp;CHAR(34)&amp;":[")</f>
        <v>],"bubbles":[</v>
      </c>
      <c r="S25" s="5" t="str">
        <f t="shared" si="13"/>
        <v/>
      </c>
      <c r="T25" s="76" t="str">
        <f t="shared" ca="1" si="14"/>
        <v>],"bubbles":[</v>
      </c>
      <c r="U25" s="5">
        <f t="shared" ca="1" si="15"/>
        <v>0</v>
      </c>
      <c r="V25" s="5">
        <f t="shared" ca="1" si="15"/>
        <v>0</v>
      </c>
      <c r="W25" s="77" t="str">
        <f t="shared" si="8"/>
        <v/>
      </c>
      <c r="X25" s="65" t="str">
        <f t="shared" si="9"/>
        <v/>
      </c>
      <c r="Y25" s="78" t="str">
        <f t="shared" si="10"/>
        <v/>
      </c>
      <c r="Z25" s="21"/>
      <c r="AA25" s="138"/>
      <c r="AB25" s="21"/>
    </row>
    <row r="26" spans="1:28" x14ac:dyDescent="0.25">
      <c r="A26" s="21"/>
      <c r="B26" s="10"/>
      <c r="C26" s="85" t="str">
        <f>IF(B26="","",INDEX(Elements!B:B,MATCH(Design!B26,Elements!A:A,0)))</f>
        <v/>
      </c>
      <c r="D26" s="15"/>
      <c r="E26" s="85" t="str">
        <f>IFERROR(IF(D26="","",INDEX(Elements!J:J,MATCH(Design!D26,Elements!I:I,0))),SUBSTITUTE(D26," ",""))</f>
        <v/>
      </c>
      <c r="F26" s="15" t="s">
        <v>308</v>
      </c>
      <c r="G26" s="84" t="str">
        <f>IFERROR(IF(F26="","",INDEX(Elements!L:L,MATCH(Design!F26,Elements!K:K,0))),F26)</f>
        <v>bubbleSize</v>
      </c>
      <c r="H26" s="12"/>
      <c r="I26" s="14" t="s">
        <v>557</v>
      </c>
      <c r="J26" s="63" t="str">
        <f t="shared" ca="1" si="11"/>
        <v>bubbles</v>
      </c>
      <c r="K26" s="63" t="str">
        <f t="shared" ca="1" si="12"/>
        <v>bubbleSize</v>
      </c>
      <c r="L26" s="63" t="str">
        <f ca="1">IF(K26="fontFamily","fontFamily",IF(K26="fontSize","fontSize",IFERROR(INDEX(Elements!M:M,MATCH(Design!J26&amp;"|"&amp;Design!K26,Elements!N:N,0)),"")))</f>
        <v>formatting</v>
      </c>
      <c r="M26" s="65" t="e">
        <f ca="1">IF(OR(L26="",L26="fill"),"",MATCH(IF(L26="enumeration",J26&amp;"|"&amp;G26,Design!L26),Elements!N:N,0))</f>
        <v>#N/A</v>
      </c>
      <c r="N26" s="65" t="str">
        <f t="shared" ca="1" si="7"/>
        <v>Design!$A$1</v>
      </c>
      <c r="O26" s="65" t="str">
        <f ca="1">"Elements!"&amp;INDEX(Elements!H:H,MATCH(Design!J26,Elements!J:J,0))</f>
        <v>Elements!K7:K7</v>
      </c>
      <c r="P26" s="65" t="str">
        <f t="shared" ca="1" si="16"/>
        <v/>
      </c>
      <c r="Q26" s="75"/>
      <c r="R26" s="5" t="str">
        <f t="shared" ref="R26:R56" si="17">IF(AND(S25&lt;&gt;"",G26=""),"]","")&amp;IF(D26="","",",")&amp;IF(E26="","",CHAR(34)&amp;E26&amp;CHAR(34)&amp;":[")</f>
        <v/>
      </c>
      <c r="S26" s="5" t="str">
        <f t="shared" ca="1" si="13"/>
        <v>{"bubbleSize":20}</v>
      </c>
      <c r="T26" s="76" t="str">
        <f t="shared" ca="1" si="14"/>
        <v>{"bubbleSize":20}</v>
      </c>
      <c r="U26" s="5">
        <f t="shared" ca="1" si="15"/>
        <v>1</v>
      </c>
      <c r="V26" s="5">
        <f t="shared" ca="1" si="15"/>
        <v>1</v>
      </c>
      <c r="W26" s="77" t="str">
        <f t="shared" si="8"/>
        <v/>
      </c>
      <c r="X26" s="65" t="str">
        <f t="shared" si="9"/>
        <v/>
      </c>
      <c r="Y26" s="78" t="str">
        <f t="shared" si="10"/>
        <v/>
      </c>
      <c r="Z26" s="21"/>
      <c r="AA26" s="138"/>
      <c r="AB26" s="21"/>
    </row>
    <row r="27" spans="1:28" x14ac:dyDescent="0.25">
      <c r="A27" s="21"/>
      <c r="B27" s="10"/>
      <c r="C27" s="85" t="str">
        <f>IF(B27="","",INDEX(Elements!B:B,MATCH(Design!B27,Elements!A:A,0)))</f>
        <v/>
      </c>
      <c r="D27" s="13"/>
      <c r="E27" s="85" t="str">
        <f>IFERROR(IF(D27="","",INDEX(Elements!J:J,MATCH(Design!D27,Elements!I:I,0))),SUBSTITUTE(D27," ",""))</f>
        <v/>
      </c>
      <c r="F27" s="13"/>
      <c r="G27" s="84" t="str">
        <f>IFERROR(IF(F27="","",INDEX(Elements!L:L,MATCH(Design!F27,Elements!K:K,0))),F27)</f>
        <v/>
      </c>
      <c r="H27" s="12"/>
      <c r="I27" s="14"/>
      <c r="J27" s="63" t="str">
        <f t="shared" ca="1" si="11"/>
        <v>bubbles</v>
      </c>
      <c r="K27" s="63" t="str">
        <f t="shared" ca="1" si="12"/>
        <v>20</v>
      </c>
      <c r="L27" s="63" t="str">
        <f ca="1">IF(K27="fontFamily","fontFamily",IF(K27="fontSize","fontSize",IFERROR(INDEX(Elements!M:M,MATCH(Design!J27&amp;"|"&amp;Design!K27,Elements!N:N,0)),"")))</f>
        <v/>
      </c>
      <c r="M27" s="65" t="str">
        <f ca="1">IF(OR(L27="",L27="fill"),"",MATCH(IF(L27="enumeration",J27&amp;"|"&amp;G27,Design!L27),Elements!N:N,0))</f>
        <v/>
      </c>
      <c r="N27" s="65" t="str">
        <f t="shared" si="7"/>
        <v/>
      </c>
      <c r="O27" s="65" t="str">
        <f ca="1">"Elements!"&amp;INDEX(Elements!H:H,MATCH(Design!J27,Elements!J:J,0))</f>
        <v>Elements!K7:K7</v>
      </c>
      <c r="P27" s="65" t="str">
        <f t="shared" ca="1" si="16"/>
        <v>"</v>
      </c>
      <c r="Q27" s="75"/>
      <c r="R27" s="5" t="str">
        <f t="shared" ca="1" si="17"/>
        <v>]</v>
      </c>
      <c r="S27" s="5" t="str">
        <f t="shared" si="13"/>
        <v/>
      </c>
      <c r="T27" s="76" t="str">
        <f t="shared" ca="1" si="14"/>
        <v>]</v>
      </c>
      <c r="U27" s="5">
        <f t="shared" ca="1" si="15"/>
        <v>0</v>
      </c>
      <c r="V27" s="5">
        <f t="shared" ca="1" si="15"/>
        <v>0</v>
      </c>
      <c r="W27" s="77" t="str">
        <f t="shared" si="8"/>
        <v/>
      </c>
      <c r="X27" s="65" t="str">
        <f t="shared" si="9"/>
        <v/>
      </c>
      <c r="Y27" s="78" t="str">
        <f t="shared" si="10"/>
        <v/>
      </c>
      <c r="Z27" s="21"/>
      <c r="AA27" s="138"/>
      <c r="AB27" s="21"/>
    </row>
    <row r="28" spans="1:28" x14ac:dyDescent="0.25">
      <c r="A28" s="21"/>
      <c r="B28" s="10"/>
      <c r="C28" s="85" t="str">
        <f>IF(B28="","",INDEX(Elements!B:B,MATCH(Design!B28,Elements!A:A,0)))</f>
        <v/>
      </c>
      <c r="D28" s="15"/>
      <c r="E28" s="85" t="str">
        <f>IFERROR(IF(D28="","",INDEX(Elements!J:J,MATCH(Design!D28,Elements!I:I,0))),SUBSTITUTE(D28," ",""))</f>
        <v/>
      </c>
      <c r="F28" s="15"/>
      <c r="G28" s="84" t="str">
        <f>IFERROR(IF(F28="","",INDEX(Elements!L:L,MATCH(Design!F28,Elements!K:K,0))),F28)</f>
        <v/>
      </c>
      <c r="H28" s="12"/>
      <c r="I28" s="14"/>
      <c r="J28" s="63" t="str">
        <f t="shared" ca="1" si="11"/>
        <v>bubbles</v>
      </c>
      <c r="K28" s="63">
        <f t="shared" ca="1" si="12"/>
        <v>0</v>
      </c>
      <c r="L28" s="63" t="str">
        <f ca="1">IF(K28="fontFamily","fontFamily",IF(K28="fontSize","fontSize",IFERROR(INDEX(Elements!M:M,MATCH(Design!J28&amp;"|"&amp;Design!K28,Elements!N:N,0)),"")))</f>
        <v/>
      </c>
      <c r="M28" s="65" t="str">
        <f ca="1">IF(OR(L28="",L28="fill"),"",MATCH(IF(L28="enumeration",J28&amp;"|"&amp;G28,Design!L28),Elements!N:N,0))</f>
        <v/>
      </c>
      <c r="N28" s="65" t="str">
        <f t="shared" si="7"/>
        <v/>
      </c>
      <c r="O28" s="65" t="str">
        <f ca="1">"Elements!"&amp;INDEX(Elements!H:H,MATCH(Design!J28,Elements!J:J,0))</f>
        <v>Elements!K7:K7</v>
      </c>
      <c r="P28" s="65" t="str">
        <f t="shared" ca="1" si="16"/>
        <v>"</v>
      </c>
      <c r="Q28" s="75"/>
      <c r="R28" s="5" t="str">
        <f t="shared" si="17"/>
        <v/>
      </c>
      <c r="S28" s="5" t="str">
        <f t="shared" si="13"/>
        <v/>
      </c>
      <c r="T28" s="76" t="str">
        <f t="shared" si="14"/>
        <v/>
      </c>
      <c r="U28" s="5">
        <f t="shared" si="15"/>
        <v>0</v>
      </c>
      <c r="V28" s="5">
        <f t="shared" si="15"/>
        <v>0</v>
      </c>
      <c r="W28" s="77" t="str">
        <f t="shared" si="8"/>
        <v/>
      </c>
      <c r="X28" s="65" t="str">
        <f t="shared" si="9"/>
        <v/>
      </c>
      <c r="Y28" s="78" t="str">
        <f t="shared" si="10"/>
        <v/>
      </c>
      <c r="Z28" s="21"/>
      <c r="AA28" s="138"/>
      <c r="AB28" s="21"/>
    </row>
    <row r="29" spans="1:28" x14ac:dyDescent="0.25">
      <c r="A29" s="21"/>
      <c r="B29" s="10"/>
      <c r="C29" s="85" t="str">
        <f>IF(B29="","",INDEX(Elements!B:B,MATCH(Design!B29,Elements!A:A,0)))</f>
        <v/>
      </c>
      <c r="D29" s="13"/>
      <c r="E29" s="85" t="str">
        <f>IFERROR(IF(D29="","",INDEX(Elements!J:J,MATCH(Design!D29,Elements!I:I,0))),SUBSTITUTE(D29," ",""))</f>
        <v/>
      </c>
      <c r="F29" s="13"/>
      <c r="G29" s="84" t="str">
        <f>IFERROR(IF(F29="","",INDEX(Elements!L:L,MATCH(Design!F29,Elements!K:K,0))),F29)</f>
        <v/>
      </c>
      <c r="H29" s="12"/>
      <c r="I29" s="14"/>
      <c r="J29" s="63" t="str">
        <f t="shared" ca="1" si="11"/>
        <v>bubbles</v>
      </c>
      <c r="K29" s="63">
        <f t="shared" ca="1" si="12"/>
        <v>0</v>
      </c>
      <c r="L29" s="63" t="str">
        <f ca="1">IF(K29="fontFamily","fontFamily",IF(K29="fontSize","fontSize",IFERROR(INDEX(Elements!M:M,MATCH(Design!J29&amp;"|"&amp;Design!K29,Elements!N:N,0)),"")))</f>
        <v/>
      </c>
      <c r="M29" s="65" t="str">
        <f ca="1">IF(OR(L29="",L29="fill"),"",MATCH(IF(L29="enumeration",J29&amp;"|"&amp;G29,Design!L29),Elements!N:N,0))</f>
        <v/>
      </c>
      <c r="N29" s="65" t="str">
        <f t="shared" si="7"/>
        <v/>
      </c>
      <c r="O29" s="65" t="str">
        <f ca="1">"Elements!"&amp;INDEX(Elements!H:H,MATCH(Design!J29,Elements!J:J,0))</f>
        <v>Elements!K7:K7</v>
      </c>
      <c r="P29" s="65" t="str">
        <f t="shared" ca="1" si="16"/>
        <v>"</v>
      </c>
      <c r="Q29" s="75"/>
      <c r="R29" s="5" t="str">
        <f t="shared" si="17"/>
        <v/>
      </c>
      <c r="S29" s="5" t="str">
        <f t="shared" si="13"/>
        <v/>
      </c>
      <c r="T29" s="76" t="str">
        <f t="shared" si="14"/>
        <v/>
      </c>
      <c r="U29" s="5">
        <f t="shared" si="15"/>
        <v>0</v>
      </c>
      <c r="V29" s="5">
        <f t="shared" si="15"/>
        <v>0</v>
      </c>
      <c r="W29" s="77" t="str">
        <f t="shared" si="8"/>
        <v/>
      </c>
      <c r="X29" s="65" t="str">
        <f t="shared" si="9"/>
        <v/>
      </c>
      <c r="Y29" s="78" t="str">
        <f t="shared" si="10"/>
        <v/>
      </c>
      <c r="Z29" s="21"/>
      <c r="AA29" s="138"/>
      <c r="AB29" s="21"/>
    </row>
    <row r="30" spans="1:28" x14ac:dyDescent="0.25">
      <c r="A30" s="21"/>
      <c r="B30" s="10"/>
      <c r="C30" s="85" t="str">
        <f>IF(B30="","",INDEX(Elements!B:B,MATCH(Design!B30,Elements!A:A,0)))</f>
        <v/>
      </c>
      <c r="D30" s="15"/>
      <c r="E30" s="85" t="str">
        <f>IFERROR(IF(D30="","",INDEX(Elements!J:J,MATCH(Design!D30,Elements!I:I,0))),SUBSTITUTE(D30," ",""))</f>
        <v/>
      </c>
      <c r="F30" s="15"/>
      <c r="G30" s="84" t="str">
        <f>IFERROR(IF(F30="","",INDEX(Elements!L:L,MATCH(Design!F30,Elements!K:K,0))),F30)</f>
        <v/>
      </c>
      <c r="H30" s="119"/>
      <c r="I30" s="14"/>
      <c r="J30" s="63" t="str">
        <f t="shared" ca="1" si="11"/>
        <v>bubbles</v>
      </c>
      <c r="K30" s="63">
        <f t="shared" ca="1" si="12"/>
        <v>0</v>
      </c>
      <c r="L30" s="63" t="str">
        <f ca="1">IF(K30="fontFamily","fontFamily",IF(K30="fontSize","fontSize",IFERROR(INDEX(Elements!M:M,MATCH(Design!J30&amp;"|"&amp;Design!K30,Elements!N:N,0)),"")))</f>
        <v/>
      </c>
      <c r="M30" s="65" t="str">
        <f ca="1">IF(OR(L30="",L30="fill"),"",MATCH(IF(L30="enumeration",J30&amp;"|"&amp;G30,Design!L30),Elements!N:N,0))</f>
        <v/>
      </c>
      <c r="N30" s="65" t="str">
        <f t="shared" si="7"/>
        <v/>
      </c>
      <c r="O30" s="65" t="str">
        <f ca="1">"Elements!"&amp;INDEX(Elements!H:H,MATCH(Design!J30,Elements!J:J,0))</f>
        <v>Elements!K7:K7</v>
      </c>
      <c r="P30" s="65" t="str">
        <f t="shared" ca="1" si="16"/>
        <v>"</v>
      </c>
      <c r="Q30" s="75"/>
      <c r="R30" s="5" t="str">
        <f t="shared" si="17"/>
        <v/>
      </c>
      <c r="S30" s="5" t="str">
        <f t="shared" si="13"/>
        <v/>
      </c>
      <c r="T30" s="76" t="str">
        <f t="shared" si="14"/>
        <v/>
      </c>
      <c r="U30" s="5">
        <f t="shared" si="15"/>
        <v>0</v>
      </c>
      <c r="V30" s="5">
        <f t="shared" si="15"/>
        <v>0</v>
      </c>
      <c r="W30" s="77" t="str">
        <f t="shared" si="8"/>
        <v/>
      </c>
      <c r="X30" s="65" t="str">
        <f t="shared" si="9"/>
        <v/>
      </c>
      <c r="Y30" s="78" t="str">
        <f t="shared" si="10"/>
        <v/>
      </c>
      <c r="Z30" s="21"/>
      <c r="AA30" s="138"/>
      <c r="AB30" s="21"/>
    </row>
    <row r="31" spans="1:28" x14ac:dyDescent="0.25">
      <c r="A31" s="21"/>
      <c r="B31" s="16"/>
      <c r="C31" s="86" t="str">
        <f>IF(B31="","",INDEX(Elements!B:B,MATCH(Design!B31,Elements!A:A,0)))</f>
        <v/>
      </c>
      <c r="D31" s="17"/>
      <c r="E31" s="86" t="str">
        <f>IFERROR(IF(D31="","",INDEX(Elements!J:J,MATCH(Design!D31,Elements!I:I,0))),SUBSTITUTE(D31," ",""))</f>
        <v/>
      </c>
      <c r="F31" s="17"/>
      <c r="G31" s="85" t="str">
        <f>IFERROR(IF(F31="","",INDEX(Elements!L:L,MATCH(Design!F31,Elements!K:K,0))),F31)</f>
        <v/>
      </c>
      <c r="H31" s="12"/>
      <c r="I31" s="14"/>
      <c r="J31" s="63" t="str">
        <f t="shared" ca="1" si="11"/>
        <v>bubbles</v>
      </c>
      <c r="K31" s="63">
        <f t="shared" ca="1" si="12"/>
        <v>0</v>
      </c>
      <c r="L31" s="63" t="str">
        <f ca="1">IF(K31="fontFamily","fontFamily",IF(K31="fontSize","fontSize",IFERROR(INDEX(Elements!M:M,MATCH(Design!J31&amp;"|"&amp;Design!K31,Elements!N:N,0)),"")))</f>
        <v/>
      </c>
      <c r="M31" s="65" t="str">
        <f ca="1">IF(OR(L31="",L31="fill"),"",MATCH(IF(L31="enumeration",J31&amp;"|"&amp;G31,Design!L31),Elements!N:N,0))</f>
        <v/>
      </c>
      <c r="N31" s="65" t="str">
        <f t="shared" si="7"/>
        <v/>
      </c>
      <c r="O31" s="65" t="str">
        <f ca="1">"Elements!"&amp;INDEX(Elements!H:H,MATCH(Design!J31,Elements!J:J,0))</f>
        <v>Elements!K7:K7</v>
      </c>
      <c r="P31" s="65" t="str">
        <f t="shared" ca="1" si="16"/>
        <v>"</v>
      </c>
      <c r="Q31" s="75"/>
      <c r="R31" s="5" t="str">
        <f t="shared" si="17"/>
        <v/>
      </c>
      <c r="S31" s="5" t="str">
        <f t="shared" si="13"/>
        <v/>
      </c>
      <c r="T31" s="76" t="str">
        <f t="shared" si="14"/>
        <v/>
      </c>
      <c r="U31" s="5">
        <f t="shared" si="15"/>
        <v>0</v>
      </c>
      <c r="V31" s="5">
        <f t="shared" si="15"/>
        <v>0</v>
      </c>
      <c r="W31" s="77" t="str">
        <f t="shared" si="8"/>
        <v/>
      </c>
      <c r="X31" s="65" t="str">
        <f t="shared" si="9"/>
        <v/>
      </c>
      <c r="Y31" s="78" t="str">
        <f t="shared" si="10"/>
        <v/>
      </c>
      <c r="Z31" s="21"/>
      <c r="AA31" s="138"/>
      <c r="AB31" s="21"/>
    </row>
    <row r="32" spans="1:28" x14ac:dyDescent="0.25">
      <c r="A32" s="21"/>
      <c r="B32" s="16"/>
      <c r="C32" s="86" t="str">
        <f>IF(B32="","",INDEX(Elements!B:B,MATCH(Design!B32,Elements!A:A,0)))</f>
        <v/>
      </c>
      <c r="D32" s="17"/>
      <c r="E32" s="86" t="str">
        <f>IFERROR(IF(D32="","",INDEX(Elements!J:J,MATCH(Design!D32,Elements!I:I,0))),SUBSTITUTE(D32," ",""))</f>
        <v/>
      </c>
      <c r="F32" s="17"/>
      <c r="G32" s="85" t="str">
        <f>IFERROR(IF(F32="","",INDEX(Elements!L:L,MATCH(Design!F32,Elements!K:K,0))),F32)</f>
        <v/>
      </c>
      <c r="H32" s="12"/>
      <c r="I32" s="14"/>
      <c r="J32" s="63" t="str">
        <f t="shared" ref="J32:J56" ca="1" si="18">IF(E32="",INDIRECT("J"&amp;ROW()-1),E32)</f>
        <v>bubbles</v>
      </c>
      <c r="K32" s="63">
        <f t="shared" ref="K32:K56" ca="1" si="19">IFERROR(IF(G32="",INDIRECT("I"&amp;ROW()-1),G32),"")</f>
        <v>0</v>
      </c>
      <c r="L32" s="63" t="str">
        <f ca="1">IF(K32="fontFamily","fontFamily",IF(K32="fontSize","fontSize",IFERROR(INDEX(Elements!M:M,MATCH(Design!J32&amp;"|"&amp;Design!K32,Elements!N:N,0)),"")))</f>
        <v/>
      </c>
      <c r="M32" s="65" t="str">
        <f ca="1">IF(OR(L32="",L32="fill"),"",MATCH(IF(L32="enumeration",J32&amp;"|"&amp;G32,Design!L32),Elements!N:N,0))</f>
        <v/>
      </c>
      <c r="N32" s="65" t="str">
        <f t="shared" si="7"/>
        <v/>
      </c>
      <c r="O32" s="65" t="str">
        <f ca="1">"Elements!"&amp;INDEX(Elements!H:H,MATCH(Design!J32,Elements!J:J,0))</f>
        <v>Elements!K7:K7</v>
      </c>
      <c r="P32" s="65" t="str">
        <f t="shared" ca="1" si="16"/>
        <v>"</v>
      </c>
      <c r="Q32" s="75"/>
      <c r="R32" s="5" t="str">
        <f t="shared" si="17"/>
        <v/>
      </c>
      <c r="S32" s="5" t="str">
        <f t="shared" si="13"/>
        <v/>
      </c>
      <c r="T32" s="76" t="str">
        <f t="shared" si="14"/>
        <v/>
      </c>
      <c r="U32" s="5">
        <f t="shared" si="15"/>
        <v>0</v>
      </c>
      <c r="V32" s="5">
        <f t="shared" si="15"/>
        <v>0</v>
      </c>
      <c r="W32" s="77" t="str">
        <f t="shared" si="8"/>
        <v/>
      </c>
      <c r="X32" s="65" t="str">
        <f t="shared" si="9"/>
        <v/>
      </c>
      <c r="Y32" s="78" t="str">
        <f t="shared" si="10"/>
        <v/>
      </c>
      <c r="Z32" s="21"/>
      <c r="AA32" s="138"/>
      <c r="AB32" s="21"/>
    </row>
    <row r="33" spans="1:28" x14ac:dyDescent="0.25">
      <c r="A33" s="21"/>
      <c r="B33" s="16"/>
      <c r="C33" s="86" t="str">
        <f>IF(B33="","",INDEX(Elements!B:B,MATCH(Design!B33,Elements!A:A,0)))</f>
        <v/>
      </c>
      <c r="D33" s="17"/>
      <c r="E33" s="86" t="str">
        <f>IFERROR(IF(D33="","",INDEX(Elements!J:J,MATCH(Design!D33,Elements!I:I,0))),SUBSTITUTE(D33," ",""))</f>
        <v/>
      </c>
      <c r="F33" s="17"/>
      <c r="G33" s="85" t="str">
        <f>IFERROR(IF(F33="","",INDEX(Elements!L:L,MATCH(Design!F33,Elements!K:K,0))),F33)</f>
        <v/>
      </c>
      <c r="H33" s="12"/>
      <c r="I33" s="14"/>
      <c r="J33" s="63" t="str">
        <f t="shared" ca="1" si="18"/>
        <v>bubbles</v>
      </c>
      <c r="K33" s="63">
        <f t="shared" ca="1" si="19"/>
        <v>0</v>
      </c>
      <c r="L33" s="63" t="str">
        <f ca="1">IF(K33="fontFamily","fontFamily",IF(K33="fontSize","fontSize",IFERROR(INDEX(Elements!M:M,MATCH(Design!J33&amp;"|"&amp;Design!K33,Elements!N:N,0)),"")))</f>
        <v/>
      </c>
      <c r="M33" s="65" t="str">
        <f ca="1">IF(OR(L33="",L33="fill"),"",MATCH(IF(L33="enumeration",J33&amp;"|"&amp;G33,Design!L33),Elements!N:N,0))</f>
        <v/>
      </c>
      <c r="N33" s="65" t="str">
        <f t="shared" si="7"/>
        <v/>
      </c>
      <c r="O33" s="65" t="str">
        <f ca="1">"Elements!"&amp;INDEX(Elements!H:H,MATCH(Design!J33,Elements!J:J,0))</f>
        <v>Elements!K7:K7</v>
      </c>
      <c r="P33" s="65" t="str">
        <f t="shared" ca="1" si="16"/>
        <v>"</v>
      </c>
      <c r="Q33" s="75"/>
      <c r="R33" s="5" t="str">
        <f t="shared" si="17"/>
        <v/>
      </c>
      <c r="S33" s="5" t="str">
        <f t="shared" si="13"/>
        <v/>
      </c>
      <c r="T33" s="76" t="str">
        <f t="shared" si="14"/>
        <v/>
      </c>
      <c r="U33" s="5">
        <f t="shared" si="15"/>
        <v>0</v>
      </c>
      <c r="V33" s="5">
        <f t="shared" si="15"/>
        <v>0</v>
      </c>
      <c r="W33" s="77" t="str">
        <f t="shared" si="8"/>
        <v/>
      </c>
      <c r="X33" s="65" t="str">
        <f t="shared" si="9"/>
        <v/>
      </c>
      <c r="Y33" s="78" t="str">
        <f t="shared" si="10"/>
        <v/>
      </c>
      <c r="Z33" s="21"/>
      <c r="AA33" s="138"/>
      <c r="AB33" s="21"/>
    </row>
    <row r="34" spans="1:28" x14ac:dyDescent="0.25">
      <c r="A34" s="21"/>
      <c r="B34" s="16"/>
      <c r="C34" s="86" t="str">
        <f>IF(B34="","",INDEX(Elements!B:B,MATCH(Design!B34,Elements!A:A,0)))</f>
        <v/>
      </c>
      <c r="D34" s="17"/>
      <c r="E34" s="86" t="str">
        <f>IFERROR(IF(D34="","",INDEX(Elements!J:J,MATCH(Design!D34,Elements!I:I,0))),SUBSTITUTE(D34," ",""))</f>
        <v/>
      </c>
      <c r="F34" s="17"/>
      <c r="G34" s="85" t="str">
        <f>IFERROR(IF(F34="","",INDEX(Elements!L:L,MATCH(Design!F34,Elements!K:K,0))),F34)</f>
        <v/>
      </c>
      <c r="H34" s="12"/>
      <c r="I34" s="14"/>
      <c r="J34" s="63" t="str">
        <f t="shared" ca="1" si="18"/>
        <v>bubbles</v>
      </c>
      <c r="K34" s="63">
        <f t="shared" ca="1" si="19"/>
        <v>0</v>
      </c>
      <c r="L34" s="63" t="str">
        <f ca="1">IF(K34="fontFamily","fontFamily",IF(K34="fontSize","fontSize",IFERROR(INDEX(Elements!M:M,MATCH(Design!J34&amp;"|"&amp;Design!K34,Elements!N:N,0)),"")))</f>
        <v/>
      </c>
      <c r="M34" s="65" t="str">
        <f ca="1">IF(OR(L34="",L34="fill"),"",MATCH(IF(L34="enumeration",J34&amp;"|"&amp;G34,Design!L34),Elements!N:N,0))</f>
        <v/>
      </c>
      <c r="N34" s="65" t="str">
        <f t="shared" si="7"/>
        <v/>
      </c>
      <c r="O34" s="65" t="str">
        <f ca="1">"Elements!"&amp;INDEX(Elements!H:H,MATCH(Design!J34,Elements!J:J,0))</f>
        <v>Elements!K7:K7</v>
      </c>
      <c r="P34" s="65" t="str">
        <f t="shared" ca="1" si="16"/>
        <v>"</v>
      </c>
      <c r="Q34" s="75"/>
      <c r="R34" s="5" t="str">
        <f t="shared" si="17"/>
        <v/>
      </c>
      <c r="S34" s="5" t="str">
        <f t="shared" si="13"/>
        <v/>
      </c>
      <c r="T34" s="76" t="str">
        <f t="shared" si="14"/>
        <v/>
      </c>
      <c r="U34" s="5">
        <f t="shared" si="15"/>
        <v>0</v>
      </c>
      <c r="V34" s="5">
        <f t="shared" si="15"/>
        <v>0</v>
      </c>
      <c r="W34" s="77" t="str">
        <f t="shared" si="8"/>
        <v/>
      </c>
      <c r="X34" s="65" t="str">
        <f t="shared" si="9"/>
        <v/>
      </c>
      <c r="Y34" s="78" t="str">
        <f t="shared" si="10"/>
        <v/>
      </c>
      <c r="Z34" s="21"/>
      <c r="AA34" s="138"/>
      <c r="AB34" s="21"/>
    </row>
    <row r="35" spans="1:28" x14ac:dyDescent="0.25">
      <c r="A35" s="21"/>
      <c r="B35" s="16"/>
      <c r="C35" s="86" t="str">
        <f>IF(B35="","",INDEX(Elements!B:B,MATCH(Design!B35,Elements!A:A,0)))</f>
        <v/>
      </c>
      <c r="D35" s="17"/>
      <c r="E35" s="86" t="str">
        <f>IFERROR(IF(D35="","",INDEX(Elements!J:J,MATCH(Design!D35,Elements!I:I,0))),SUBSTITUTE(D35," ",""))</f>
        <v/>
      </c>
      <c r="F35" s="17"/>
      <c r="G35" s="85" t="str">
        <f>IFERROR(IF(F35="","",INDEX(Elements!L:L,MATCH(Design!F35,Elements!K:K,0))),F35)</f>
        <v/>
      </c>
      <c r="H35" s="12"/>
      <c r="I35" s="14"/>
      <c r="J35" s="63" t="str">
        <f t="shared" ca="1" si="18"/>
        <v>bubbles</v>
      </c>
      <c r="K35" s="63">
        <f t="shared" ca="1" si="19"/>
        <v>0</v>
      </c>
      <c r="L35" s="63" t="str">
        <f ca="1">IF(K35="fontFamily","fontFamily",IF(K35="fontSize","fontSize",IFERROR(INDEX(Elements!M:M,MATCH(Design!J35&amp;"|"&amp;Design!K35,Elements!N:N,0)),"")))</f>
        <v/>
      </c>
      <c r="M35" s="65" t="str">
        <f ca="1">IF(OR(L35="",L35="fill"),"",MATCH(IF(L35="enumeration",J35&amp;"|"&amp;G35,Design!L35),Elements!N:N,0))</f>
        <v/>
      </c>
      <c r="N35" s="65" t="str">
        <f t="shared" si="7"/>
        <v/>
      </c>
      <c r="O35" s="65" t="str">
        <f ca="1">"Elements!"&amp;INDEX(Elements!H:H,MATCH(Design!J35,Elements!J:J,0))</f>
        <v>Elements!K7:K7</v>
      </c>
      <c r="P35" s="65" t="str">
        <f t="shared" ca="1" si="16"/>
        <v>"</v>
      </c>
      <c r="Q35" s="75"/>
      <c r="R35" s="5" t="str">
        <f t="shared" si="17"/>
        <v/>
      </c>
      <c r="S35" s="5" t="str">
        <f t="shared" si="13"/>
        <v/>
      </c>
      <c r="T35" s="76" t="str">
        <f t="shared" si="14"/>
        <v/>
      </c>
      <c r="U35" s="5">
        <f t="shared" si="15"/>
        <v>0</v>
      </c>
      <c r="V35" s="5">
        <f t="shared" si="15"/>
        <v>0</v>
      </c>
      <c r="W35" s="77" t="str">
        <f t="shared" si="8"/>
        <v/>
      </c>
      <c r="X35" s="65" t="str">
        <f t="shared" si="9"/>
        <v/>
      </c>
      <c r="Y35" s="78" t="str">
        <f t="shared" si="10"/>
        <v/>
      </c>
      <c r="Z35" s="21"/>
      <c r="AA35" s="138"/>
      <c r="AB35" s="21"/>
    </row>
    <row r="36" spans="1:28" x14ac:dyDescent="0.25">
      <c r="A36" s="21"/>
      <c r="B36" s="16"/>
      <c r="C36" s="86" t="str">
        <f>IF(B36="","",INDEX(Elements!B:B,MATCH(Design!B36,Elements!A:A,0)))</f>
        <v/>
      </c>
      <c r="D36" s="17"/>
      <c r="E36" s="86" t="str">
        <f>IFERROR(IF(D36="","",INDEX(Elements!J:J,MATCH(Design!D36,Elements!I:I,0))),SUBSTITUTE(D36," ",""))</f>
        <v/>
      </c>
      <c r="F36" s="17"/>
      <c r="G36" s="85" t="str">
        <f>IFERROR(IF(F36="","",INDEX(Elements!L:L,MATCH(Design!F36,Elements!K:K,0))),F36)</f>
        <v/>
      </c>
      <c r="H36" s="12"/>
      <c r="I36" s="14"/>
      <c r="J36" s="63" t="str">
        <f t="shared" ca="1" si="18"/>
        <v>bubbles</v>
      </c>
      <c r="K36" s="63">
        <f t="shared" ca="1" si="19"/>
        <v>0</v>
      </c>
      <c r="L36" s="63" t="str">
        <f ca="1">IF(K36="fontFamily","fontFamily",IF(K36="fontSize","fontSize",IFERROR(INDEX(Elements!M:M,MATCH(Design!J36&amp;"|"&amp;Design!K36,Elements!N:N,0)),"")))</f>
        <v/>
      </c>
      <c r="M36" s="65" t="str">
        <f ca="1">IF(OR(L36="",L36="fill"),"",MATCH(IF(L36="enumeration",J36&amp;"|"&amp;G36,Design!L36),Elements!N:N,0))</f>
        <v/>
      </c>
      <c r="N36" s="65" t="str">
        <f t="shared" si="7"/>
        <v/>
      </c>
      <c r="O36" s="65" t="str">
        <f ca="1">"Elements!"&amp;INDEX(Elements!H:H,MATCH(Design!J36,Elements!J:J,0))</f>
        <v>Elements!K7:K7</v>
      </c>
      <c r="P36" s="65" t="str">
        <f t="shared" ca="1" si="16"/>
        <v>"</v>
      </c>
      <c r="Q36" s="75"/>
      <c r="R36" s="5" t="str">
        <f t="shared" si="17"/>
        <v/>
      </c>
      <c r="S36" s="5" t="str">
        <f t="shared" si="13"/>
        <v/>
      </c>
      <c r="T36" s="76" t="str">
        <f t="shared" si="14"/>
        <v/>
      </c>
      <c r="U36" s="5">
        <f t="shared" si="15"/>
        <v>0</v>
      </c>
      <c r="V36" s="5">
        <f t="shared" si="15"/>
        <v>0</v>
      </c>
      <c r="W36" s="77" t="str">
        <f t="shared" si="8"/>
        <v/>
      </c>
      <c r="X36" s="65" t="str">
        <f t="shared" si="9"/>
        <v/>
      </c>
      <c r="Y36" s="78" t="str">
        <f t="shared" si="10"/>
        <v/>
      </c>
      <c r="Z36" s="21"/>
      <c r="AA36" s="138"/>
      <c r="AB36" s="21"/>
    </row>
    <row r="37" spans="1:28" x14ac:dyDescent="0.25">
      <c r="A37" s="21"/>
      <c r="B37" s="16"/>
      <c r="C37" s="86" t="str">
        <f>IF(B37="","",INDEX(Elements!B:B,MATCH(Design!B37,Elements!A:A,0)))</f>
        <v/>
      </c>
      <c r="D37" s="17"/>
      <c r="E37" s="86" t="str">
        <f>IFERROR(IF(D37="","",INDEX(Elements!J:J,MATCH(Design!D37,Elements!I:I,0))),SUBSTITUTE(D37," ",""))</f>
        <v/>
      </c>
      <c r="F37" s="17"/>
      <c r="G37" s="85" t="str">
        <f>IFERROR(IF(F37="","",INDEX(Elements!L:L,MATCH(Design!F37,Elements!K:K,0))),F37)</f>
        <v/>
      </c>
      <c r="H37" s="12"/>
      <c r="I37" s="14"/>
      <c r="J37" s="63" t="str">
        <f t="shared" ca="1" si="18"/>
        <v>bubbles</v>
      </c>
      <c r="K37" s="63">
        <f t="shared" ca="1" si="19"/>
        <v>0</v>
      </c>
      <c r="L37" s="63" t="str">
        <f ca="1">IF(K37="fontFamily","fontFamily",IF(K37="fontSize","fontSize",IFERROR(INDEX(Elements!M:M,MATCH(Design!J37&amp;"|"&amp;Design!K37,Elements!N:N,0)),"")))</f>
        <v/>
      </c>
      <c r="M37" s="65" t="str">
        <f ca="1">IF(OR(L37="",L37="fill"),"",MATCH(IF(L37="enumeration",J37&amp;"|"&amp;G37,Design!L37),Elements!N:N,0))</f>
        <v/>
      </c>
      <c r="N37" s="65" t="str">
        <f t="shared" si="7"/>
        <v/>
      </c>
      <c r="O37" s="65" t="str">
        <f ca="1">"Elements!"&amp;INDEX(Elements!H:H,MATCH(Design!J37,Elements!J:J,0))</f>
        <v>Elements!K7:K7</v>
      </c>
      <c r="P37" s="65" t="str">
        <f t="shared" ca="1" si="16"/>
        <v>"</v>
      </c>
      <c r="Q37" s="75"/>
      <c r="R37" s="5" t="str">
        <f t="shared" si="17"/>
        <v/>
      </c>
      <c r="S37" s="5" t="str">
        <f t="shared" si="13"/>
        <v/>
      </c>
      <c r="T37" s="76" t="str">
        <f t="shared" si="14"/>
        <v/>
      </c>
      <c r="U37" s="5">
        <f t="shared" si="15"/>
        <v>0</v>
      </c>
      <c r="V37" s="5">
        <f t="shared" si="15"/>
        <v>0</v>
      </c>
      <c r="W37" s="77" t="str">
        <f t="shared" si="8"/>
        <v/>
      </c>
      <c r="X37" s="65" t="str">
        <f t="shared" si="9"/>
        <v/>
      </c>
      <c r="Y37" s="78" t="str">
        <f t="shared" si="10"/>
        <v/>
      </c>
      <c r="Z37" s="21"/>
      <c r="AA37" s="138"/>
      <c r="AB37" s="21"/>
    </row>
    <row r="38" spans="1:28" x14ac:dyDescent="0.25">
      <c r="A38" s="21"/>
      <c r="B38" s="16"/>
      <c r="C38" s="86" t="str">
        <f>IF(B38="","",INDEX(Elements!B:B,MATCH(Design!B38,Elements!A:A,0)))</f>
        <v/>
      </c>
      <c r="D38" s="17"/>
      <c r="E38" s="86" t="str">
        <f>IFERROR(IF(D38="","",INDEX(Elements!J:J,MATCH(Design!D38,Elements!I:I,0))),SUBSTITUTE(D38," ",""))</f>
        <v/>
      </c>
      <c r="F38" s="17"/>
      <c r="G38" s="85" t="str">
        <f>IFERROR(IF(F38="","",INDEX(Elements!L:L,MATCH(Design!F38,Elements!K:K,0))),F38)</f>
        <v/>
      </c>
      <c r="H38" s="12"/>
      <c r="I38" s="14"/>
      <c r="J38" s="63" t="str">
        <f t="shared" ca="1" si="18"/>
        <v>bubbles</v>
      </c>
      <c r="K38" s="63">
        <f t="shared" ca="1" si="19"/>
        <v>0</v>
      </c>
      <c r="L38" s="63" t="str">
        <f ca="1">IF(K38="fontFamily","fontFamily",IF(K38="fontSize","fontSize",IFERROR(INDEX(Elements!M:M,MATCH(Design!J38&amp;"|"&amp;Design!K38,Elements!N:N,0)),"")))</f>
        <v/>
      </c>
      <c r="M38" s="65" t="str">
        <f ca="1">IF(OR(L38="",L38="fill"),"",MATCH(IF(L38="enumeration",J38&amp;"|"&amp;G38,Design!L38),Elements!N:N,0))</f>
        <v/>
      </c>
      <c r="N38" s="65" t="str">
        <f t="shared" si="7"/>
        <v/>
      </c>
      <c r="O38" s="65" t="str">
        <f ca="1">"Elements!"&amp;INDEX(Elements!H:H,MATCH(Design!J38,Elements!J:J,0))</f>
        <v>Elements!K7:K7</v>
      </c>
      <c r="P38" s="65" t="str">
        <f t="shared" ca="1" si="16"/>
        <v>"</v>
      </c>
      <c r="Q38" s="75"/>
      <c r="R38" s="5" t="str">
        <f t="shared" si="17"/>
        <v/>
      </c>
      <c r="S38" s="5" t="str">
        <f t="shared" si="13"/>
        <v/>
      </c>
      <c r="T38" s="76" t="str">
        <f t="shared" si="14"/>
        <v/>
      </c>
      <c r="U38" s="5">
        <f t="shared" si="15"/>
        <v>0</v>
      </c>
      <c r="V38" s="5">
        <f t="shared" si="15"/>
        <v>0</v>
      </c>
      <c r="W38" s="77" t="str">
        <f t="shared" si="8"/>
        <v/>
      </c>
      <c r="X38" s="65" t="str">
        <f t="shared" si="9"/>
        <v/>
      </c>
      <c r="Y38" s="78" t="str">
        <f t="shared" si="10"/>
        <v/>
      </c>
      <c r="Z38" s="21"/>
      <c r="AA38" s="138"/>
      <c r="AB38" s="21"/>
    </row>
    <row r="39" spans="1:28" x14ac:dyDescent="0.25">
      <c r="A39" s="21"/>
      <c r="B39" s="16"/>
      <c r="C39" s="86" t="str">
        <f>IF(B39="","",INDEX(Elements!B:B,MATCH(Design!B39,Elements!A:A,0)))</f>
        <v/>
      </c>
      <c r="D39" s="17"/>
      <c r="E39" s="86" t="str">
        <f>IFERROR(IF(D39="","",INDEX(Elements!J:J,MATCH(Design!D39,Elements!I:I,0))),SUBSTITUTE(D39," ",""))</f>
        <v/>
      </c>
      <c r="F39" s="17"/>
      <c r="G39" s="85" t="str">
        <f>IFERROR(IF(F39="","",INDEX(Elements!L:L,MATCH(Design!F39,Elements!K:K,0))),F39)</f>
        <v/>
      </c>
      <c r="H39" s="12"/>
      <c r="I39" s="14"/>
      <c r="J39" s="63" t="str">
        <f t="shared" ca="1" si="18"/>
        <v>bubbles</v>
      </c>
      <c r="K39" s="63">
        <f t="shared" ca="1" si="19"/>
        <v>0</v>
      </c>
      <c r="L39" s="63" t="str">
        <f ca="1">IF(K39="fontFamily","fontFamily",IF(K39="fontSize","fontSize",IFERROR(INDEX(Elements!M:M,MATCH(Design!J39&amp;"|"&amp;Design!K39,Elements!N:N,0)),"")))</f>
        <v/>
      </c>
      <c r="M39" s="65" t="str">
        <f ca="1">IF(OR(L39="",L39="fill"),"",MATCH(IF(L39="enumeration",J39&amp;"|"&amp;G39,Design!L39),Elements!N:N,0))</f>
        <v/>
      </c>
      <c r="N39" s="65" t="str">
        <f t="shared" si="7"/>
        <v/>
      </c>
      <c r="O39" s="65" t="str">
        <f ca="1">"Elements!"&amp;INDEX(Elements!H:H,MATCH(Design!J39,Elements!J:J,0))</f>
        <v>Elements!K7:K7</v>
      </c>
      <c r="P39" s="65" t="str">
        <f t="shared" ca="1" si="16"/>
        <v>"</v>
      </c>
      <c r="Q39" s="75"/>
      <c r="R39" s="5" t="str">
        <f t="shared" si="17"/>
        <v/>
      </c>
      <c r="S39" s="5" t="str">
        <f t="shared" si="13"/>
        <v/>
      </c>
      <c r="T39" s="76" t="str">
        <f t="shared" si="14"/>
        <v/>
      </c>
      <c r="U39" s="5">
        <f t="shared" si="15"/>
        <v>0</v>
      </c>
      <c r="V39" s="5">
        <f t="shared" si="15"/>
        <v>0</v>
      </c>
      <c r="W39" s="77" t="str">
        <f t="shared" si="8"/>
        <v/>
      </c>
      <c r="X39" s="65" t="str">
        <f t="shared" si="9"/>
        <v/>
      </c>
      <c r="Y39" s="78" t="str">
        <f t="shared" si="10"/>
        <v/>
      </c>
      <c r="Z39" s="21"/>
      <c r="AA39" s="138"/>
      <c r="AB39" s="21"/>
    </row>
    <row r="40" spans="1:28" x14ac:dyDescent="0.25">
      <c r="A40" s="21"/>
      <c r="B40" s="16"/>
      <c r="C40" s="86" t="str">
        <f>IF(B40="","",INDEX(Elements!B:B,MATCH(Design!B40,Elements!A:A,0)))</f>
        <v/>
      </c>
      <c r="D40" s="17"/>
      <c r="E40" s="86" t="str">
        <f>IFERROR(IF(D40="","",INDEX(Elements!J:J,MATCH(Design!D40,Elements!I:I,0))),SUBSTITUTE(D40," ",""))</f>
        <v/>
      </c>
      <c r="F40" s="17"/>
      <c r="G40" s="85" t="str">
        <f>IFERROR(IF(F40="","",INDEX(Elements!L:L,MATCH(Design!F40,Elements!K:K,0))),F40)</f>
        <v/>
      </c>
      <c r="H40" s="12"/>
      <c r="I40" s="14"/>
      <c r="J40" s="63" t="str">
        <f t="shared" ca="1" si="18"/>
        <v>bubbles</v>
      </c>
      <c r="K40" s="63">
        <f t="shared" ca="1" si="19"/>
        <v>0</v>
      </c>
      <c r="L40" s="63" t="str">
        <f ca="1">IF(K40="fontFamily","fontFamily",IF(K40="fontSize","fontSize",IFERROR(INDEX(Elements!M:M,MATCH(Design!J40&amp;"|"&amp;Design!K40,Elements!N:N,0)),"")))</f>
        <v/>
      </c>
      <c r="M40" s="65" t="str">
        <f ca="1">IF(OR(L40="",L40="fill"),"",MATCH(IF(L40="enumeration",J40&amp;"|"&amp;G40,Design!L40),Elements!N:N,0))</f>
        <v/>
      </c>
      <c r="N40" s="65" t="str">
        <f t="shared" si="7"/>
        <v/>
      </c>
      <c r="O40" s="65" t="str">
        <f ca="1">"Elements!"&amp;INDEX(Elements!H:H,MATCH(Design!J40,Elements!J:J,0))</f>
        <v>Elements!K7:K7</v>
      </c>
      <c r="P40" s="65" t="str">
        <f t="shared" ca="1" si="16"/>
        <v>"</v>
      </c>
      <c r="Q40" s="75"/>
      <c r="R40" s="5" t="str">
        <f t="shared" si="17"/>
        <v/>
      </c>
      <c r="S40" s="5" t="str">
        <f t="shared" si="13"/>
        <v/>
      </c>
      <c r="T40" s="76" t="str">
        <f t="shared" si="14"/>
        <v/>
      </c>
      <c r="U40" s="5">
        <f t="shared" si="15"/>
        <v>0</v>
      </c>
      <c r="V40" s="5">
        <f t="shared" si="15"/>
        <v>0</v>
      </c>
      <c r="W40" s="77" t="str">
        <f t="shared" si="8"/>
        <v/>
      </c>
      <c r="X40" s="65" t="str">
        <f t="shared" si="9"/>
        <v/>
      </c>
      <c r="Y40" s="78" t="str">
        <f t="shared" si="10"/>
        <v/>
      </c>
      <c r="Z40" s="21"/>
      <c r="AA40" s="138"/>
      <c r="AB40" s="21"/>
    </row>
    <row r="41" spans="1:28" x14ac:dyDescent="0.25">
      <c r="A41" s="21"/>
      <c r="B41" s="16"/>
      <c r="C41" s="86" t="str">
        <f>IF(B41="","",INDEX(Elements!B:B,MATCH(Design!B41,Elements!A:A,0)))</f>
        <v/>
      </c>
      <c r="D41" s="17"/>
      <c r="E41" s="86" t="str">
        <f>IFERROR(IF(D41="","",INDEX(Elements!J:J,MATCH(Design!D41,Elements!I:I,0))),SUBSTITUTE(D41," ",""))</f>
        <v/>
      </c>
      <c r="F41" s="17"/>
      <c r="G41" s="85" t="str">
        <f>IFERROR(IF(F41="","",INDEX(Elements!L:L,MATCH(Design!F41,Elements!K:K,0))),F41)</f>
        <v/>
      </c>
      <c r="H41" s="12"/>
      <c r="I41" s="14"/>
      <c r="J41" s="63" t="str">
        <f t="shared" ca="1" si="18"/>
        <v>bubbles</v>
      </c>
      <c r="K41" s="63">
        <f t="shared" ca="1" si="19"/>
        <v>0</v>
      </c>
      <c r="L41" s="63" t="str">
        <f ca="1">IF(K41="fontFamily","fontFamily",IF(K41="fontSize","fontSize",IFERROR(INDEX(Elements!M:M,MATCH(Design!J41&amp;"|"&amp;Design!K41,Elements!N:N,0)),"")))</f>
        <v/>
      </c>
      <c r="M41" s="65" t="str">
        <f ca="1">IF(OR(L41="",L41="fill"),"",MATCH(IF(L41="enumeration",J41&amp;"|"&amp;G41,Design!L41),Elements!N:N,0))</f>
        <v/>
      </c>
      <c r="N41" s="65" t="str">
        <f t="shared" si="7"/>
        <v/>
      </c>
      <c r="O41" s="65" t="str">
        <f ca="1">"Elements!"&amp;INDEX(Elements!H:H,MATCH(Design!J41,Elements!J:J,0))</f>
        <v>Elements!K7:K7</v>
      </c>
      <c r="P41" s="65" t="str">
        <f t="shared" ca="1" si="16"/>
        <v>"</v>
      </c>
      <c r="Q41" s="75"/>
      <c r="R41" s="5" t="str">
        <f t="shared" si="17"/>
        <v/>
      </c>
      <c r="S41" s="5" t="str">
        <f t="shared" si="13"/>
        <v/>
      </c>
      <c r="T41" s="76" t="str">
        <f t="shared" si="14"/>
        <v/>
      </c>
      <c r="U41" s="5">
        <f t="shared" si="15"/>
        <v>0</v>
      </c>
      <c r="V41" s="5">
        <f t="shared" si="15"/>
        <v>0</v>
      </c>
      <c r="W41" s="77" t="str">
        <f t="shared" si="8"/>
        <v/>
      </c>
      <c r="X41" s="65" t="str">
        <f t="shared" si="9"/>
        <v/>
      </c>
      <c r="Y41" s="78" t="str">
        <f t="shared" si="10"/>
        <v/>
      </c>
      <c r="Z41" s="21"/>
      <c r="AA41" s="138"/>
      <c r="AB41" s="21"/>
    </row>
    <row r="42" spans="1:28" x14ac:dyDescent="0.25">
      <c r="A42" s="21"/>
      <c r="B42" s="16"/>
      <c r="C42" s="86" t="str">
        <f>IF(B42="","",INDEX(Elements!B:B,MATCH(Design!B42,Elements!A:A,0)))</f>
        <v/>
      </c>
      <c r="D42" s="17"/>
      <c r="E42" s="86" t="str">
        <f>IFERROR(IF(D42="","",INDEX(Elements!J:J,MATCH(Design!D42,Elements!I:I,0))),SUBSTITUTE(D42," ",""))</f>
        <v/>
      </c>
      <c r="F42" s="17"/>
      <c r="G42" s="85" t="str">
        <f>IFERROR(IF(F42="","",INDEX(Elements!L:L,MATCH(Design!F42,Elements!K:K,0))),F42)</f>
        <v/>
      </c>
      <c r="H42" s="12"/>
      <c r="I42" s="14"/>
      <c r="J42" s="63" t="str">
        <f t="shared" ca="1" si="18"/>
        <v>bubbles</v>
      </c>
      <c r="K42" s="63">
        <f t="shared" ca="1" si="19"/>
        <v>0</v>
      </c>
      <c r="L42" s="63" t="str">
        <f ca="1">IF(K42="fontFamily","fontFamily",IF(K42="fontSize","fontSize",IFERROR(INDEX(Elements!M:M,MATCH(Design!J42&amp;"|"&amp;Design!K42,Elements!N:N,0)),"")))</f>
        <v/>
      </c>
      <c r="M42" s="65" t="str">
        <f ca="1">IF(OR(L42="",L42="fill"),"",MATCH(IF(L42="enumeration",J42&amp;"|"&amp;G42,Design!L42),Elements!N:N,0))</f>
        <v/>
      </c>
      <c r="N42" s="65" t="str">
        <f t="shared" si="7"/>
        <v/>
      </c>
      <c r="O42" s="65" t="str">
        <f ca="1">"Elements!"&amp;INDEX(Elements!H:H,MATCH(Design!J42,Elements!J:J,0))</f>
        <v>Elements!K7:K7</v>
      </c>
      <c r="P42" s="65" t="str">
        <f t="shared" ca="1" si="16"/>
        <v>"</v>
      </c>
      <c r="Q42" s="75"/>
      <c r="R42" s="5" t="str">
        <f t="shared" si="17"/>
        <v/>
      </c>
      <c r="S42" s="5" t="str">
        <f t="shared" si="13"/>
        <v/>
      </c>
      <c r="T42" s="76" t="str">
        <f t="shared" si="14"/>
        <v/>
      </c>
      <c r="U42" s="5">
        <f t="shared" si="15"/>
        <v>0</v>
      </c>
      <c r="V42" s="5">
        <f t="shared" si="15"/>
        <v>0</v>
      </c>
      <c r="W42" s="77" t="str">
        <f t="shared" si="8"/>
        <v/>
      </c>
      <c r="X42" s="65" t="str">
        <f t="shared" si="9"/>
        <v/>
      </c>
      <c r="Y42" s="78" t="str">
        <f t="shared" si="10"/>
        <v/>
      </c>
      <c r="Z42" s="21"/>
      <c r="AA42" s="138"/>
      <c r="AB42" s="21"/>
    </row>
    <row r="43" spans="1:28" x14ac:dyDescent="0.25">
      <c r="A43" s="21"/>
      <c r="B43" s="16"/>
      <c r="C43" s="86" t="str">
        <f>IF(B43="","",INDEX(Elements!B:B,MATCH(Design!B43,Elements!A:A,0)))</f>
        <v/>
      </c>
      <c r="D43" s="17"/>
      <c r="E43" s="86" t="str">
        <f>IFERROR(IF(D43="","",INDEX(Elements!J:J,MATCH(Design!D43,Elements!I:I,0))),SUBSTITUTE(D43," ",""))</f>
        <v/>
      </c>
      <c r="F43" s="17"/>
      <c r="G43" s="85" t="str">
        <f>IFERROR(IF(F43="","",INDEX(Elements!L:L,MATCH(Design!F43,Elements!K:K,0))),F43)</f>
        <v/>
      </c>
      <c r="H43" s="12"/>
      <c r="I43" s="14"/>
      <c r="J43" s="63" t="str">
        <f t="shared" ca="1" si="18"/>
        <v>bubbles</v>
      </c>
      <c r="K43" s="63">
        <f t="shared" ca="1" si="19"/>
        <v>0</v>
      </c>
      <c r="L43" s="63" t="str">
        <f ca="1">IF(K43="fontFamily","fontFamily",IF(K43="fontSize","fontSize",IFERROR(INDEX(Elements!M:M,MATCH(Design!J43&amp;"|"&amp;Design!K43,Elements!N:N,0)),"")))</f>
        <v/>
      </c>
      <c r="M43" s="65" t="str">
        <f ca="1">IF(OR(L43="",L43="fill"),"",MATCH(IF(L43="enumeration",J43&amp;"|"&amp;G43,Design!L43),Elements!N:N,0))</f>
        <v/>
      </c>
      <c r="N43" s="65" t="str">
        <f t="shared" si="7"/>
        <v/>
      </c>
      <c r="O43" s="65" t="str">
        <f ca="1">"Elements!"&amp;INDEX(Elements!H:H,MATCH(Design!J43,Elements!J:J,0))</f>
        <v>Elements!K7:K7</v>
      </c>
      <c r="P43" s="65" t="str">
        <f t="shared" ca="1" si="16"/>
        <v>"</v>
      </c>
      <c r="Q43" s="75"/>
      <c r="R43" s="5" t="str">
        <f t="shared" si="17"/>
        <v/>
      </c>
      <c r="S43" s="5" t="str">
        <f t="shared" si="13"/>
        <v/>
      </c>
      <c r="T43" s="76" t="str">
        <f t="shared" si="14"/>
        <v/>
      </c>
      <c r="U43" s="5">
        <f t="shared" si="15"/>
        <v>0</v>
      </c>
      <c r="V43" s="5">
        <f t="shared" si="15"/>
        <v>0</v>
      </c>
      <c r="W43" s="77" t="str">
        <f t="shared" si="8"/>
        <v/>
      </c>
      <c r="X43" s="65" t="str">
        <f t="shared" si="9"/>
        <v/>
      </c>
      <c r="Y43" s="78" t="str">
        <f t="shared" si="10"/>
        <v/>
      </c>
      <c r="Z43" s="21"/>
      <c r="AA43" s="138"/>
      <c r="AB43" s="21"/>
    </row>
    <row r="44" spans="1:28" x14ac:dyDescent="0.25">
      <c r="A44" s="21"/>
      <c r="B44" s="16"/>
      <c r="C44" s="86" t="str">
        <f>IF(B44="","",INDEX(Elements!B:B,MATCH(Design!B44,Elements!A:A,0)))</f>
        <v/>
      </c>
      <c r="D44" s="17"/>
      <c r="E44" s="86" t="str">
        <f>IFERROR(IF(D44="","",INDEX(Elements!J:J,MATCH(Design!D44,Elements!I:I,0))),SUBSTITUTE(D44," ",""))</f>
        <v/>
      </c>
      <c r="F44" s="17"/>
      <c r="G44" s="85" t="str">
        <f>IFERROR(IF(F44="","",INDEX(Elements!L:L,MATCH(Design!F44,Elements!K:K,0))),F44)</f>
        <v/>
      </c>
      <c r="H44" s="12"/>
      <c r="I44" s="14"/>
      <c r="J44" s="63" t="str">
        <f t="shared" ca="1" si="18"/>
        <v>bubbles</v>
      </c>
      <c r="K44" s="63">
        <f t="shared" ca="1" si="19"/>
        <v>0</v>
      </c>
      <c r="L44" s="63" t="str">
        <f ca="1">IF(K44="fontFamily","fontFamily",IF(K44="fontSize","fontSize",IFERROR(INDEX(Elements!M:M,MATCH(Design!J44&amp;"|"&amp;Design!K44,Elements!N:N,0)),"")))</f>
        <v/>
      </c>
      <c r="M44" s="65" t="str">
        <f ca="1">IF(OR(L44="",L44="fill"),"",MATCH(IF(L44="enumeration",J44&amp;"|"&amp;G44,Design!L44),Elements!N:N,0))</f>
        <v/>
      </c>
      <c r="N44" s="65" t="str">
        <f t="shared" si="7"/>
        <v/>
      </c>
      <c r="O44" s="65" t="str">
        <f ca="1">"Elements!"&amp;INDEX(Elements!H:H,MATCH(Design!J44,Elements!J:J,0))</f>
        <v>Elements!K7:K7</v>
      </c>
      <c r="P44" s="65" t="str">
        <f t="shared" ca="1" si="16"/>
        <v>"</v>
      </c>
      <c r="Q44" s="75"/>
      <c r="R44" s="5" t="str">
        <f t="shared" si="17"/>
        <v/>
      </c>
      <c r="S44" s="5" t="str">
        <f t="shared" si="13"/>
        <v/>
      </c>
      <c r="T44" s="76" t="str">
        <f t="shared" si="14"/>
        <v/>
      </c>
      <c r="U44" s="5">
        <f t="shared" si="15"/>
        <v>0</v>
      </c>
      <c r="V44" s="5">
        <f t="shared" si="15"/>
        <v>0</v>
      </c>
      <c r="W44" s="77" t="str">
        <f t="shared" si="8"/>
        <v/>
      </c>
      <c r="X44" s="65" t="str">
        <f t="shared" si="9"/>
        <v/>
      </c>
      <c r="Y44" s="78" t="str">
        <f t="shared" si="10"/>
        <v/>
      </c>
      <c r="Z44" s="21"/>
      <c r="AA44" s="138"/>
      <c r="AB44" s="21"/>
    </row>
    <row r="45" spans="1:28" x14ac:dyDescent="0.25">
      <c r="A45" s="21"/>
      <c r="B45" s="16"/>
      <c r="C45" s="86" t="str">
        <f>IF(B45="","",INDEX(Elements!B:B,MATCH(Design!B45,Elements!A:A,0)))</f>
        <v/>
      </c>
      <c r="D45" s="17"/>
      <c r="E45" s="86" t="str">
        <f>IFERROR(IF(D45="","",INDEX(Elements!J:J,MATCH(Design!D45,Elements!I:I,0))),SUBSTITUTE(D45," ",""))</f>
        <v/>
      </c>
      <c r="F45" s="17"/>
      <c r="G45" s="85" t="str">
        <f>IFERROR(IF(F45="","",INDEX(Elements!L:L,MATCH(Design!F45,Elements!K:K,0))),F45)</f>
        <v/>
      </c>
      <c r="H45" s="12"/>
      <c r="I45" s="14"/>
      <c r="J45" s="63" t="str">
        <f t="shared" ca="1" si="18"/>
        <v>bubbles</v>
      </c>
      <c r="K45" s="63">
        <f t="shared" ca="1" si="19"/>
        <v>0</v>
      </c>
      <c r="L45" s="63" t="str">
        <f ca="1">IF(K45="fontFamily","fontFamily",IF(K45="fontSize","fontSize",IFERROR(INDEX(Elements!M:M,MATCH(Design!J45&amp;"|"&amp;Design!K45,Elements!N:N,0)),"")))</f>
        <v/>
      </c>
      <c r="M45" s="65" t="str">
        <f ca="1">IF(OR(L45="",L45="fill"),"",MATCH(IF(L45="enumeration",J45&amp;"|"&amp;G45,Design!L45),Elements!N:N,0))</f>
        <v/>
      </c>
      <c r="N45" s="65" t="str">
        <f t="shared" si="7"/>
        <v/>
      </c>
      <c r="O45" s="65" t="str">
        <f ca="1">"Elements!"&amp;INDEX(Elements!H:H,MATCH(Design!J45,Elements!J:J,0))</f>
        <v>Elements!K7:K7</v>
      </c>
      <c r="P45" s="65" t="str">
        <f t="shared" ca="1" si="16"/>
        <v>"</v>
      </c>
      <c r="Q45" s="75"/>
      <c r="R45" s="5" t="str">
        <f t="shared" si="17"/>
        <v/>
      </c>
      <c r="S45" s="5" t="str">
        <f t="shared" si="13"/>
        <v/>
      </c>
      <c r="T45" s="76" t="str">
        <f t="shared" si="14"/>
        <v/>
      </c>
      <c r="U45" s="5">
        <f t="shared" si="15"/>
        <v>0</v>
      </c>
      <c r="V45" s="5">
        <f t="shared" si="15"/>
        <v>0</v>
      </c>
      <c r="W45" s="77" t="str">
        <f t="shared" si="8"/>
        <v/>
      </c>
      <c r="X45" s="65" t="str">
        <f t="shared" si="9"/>
        <v/>
      </c>
      <c r="Y45" s="78" t="str">
        <f t="shared" si="10"/>
        <v/>
      </c>
      <c r="Z45" s="21"/>
      <c r="AA45" s="138"/>
      <c r="AB45" s="21"/>
    </row>
    <row r="46" spans="1:28" x14ac:dyDescent="0.25">
      <c r="A46" s="21"/>
      <c r="B46" s="16"/>
      <c r="C46" s="86" t="str">
        <f>IF(B46="","",INDEX(Elements!B:B,MATCH(Design!B46,Elements!A:A,0)))</f>
        <v/>
      </c>
      <c r="D46" s="17"/>
      <c r="E46" s="86" t="str">
        <f>IFERROR(IF(D46="","",INDEX(Elements!J:J,MATCH(Design!D46,Elements!I:I,0))),SUBSTITUTE(D46," ",""))</f>
        <v/>
      </c>
      <c r="F46" s="17"/>
      <c r="G46" s="85" t="str">
        <f>IFERROR(IF(F46="","",INDEX(Elements!L:L,MATCH(Design!F46,Elements!K:K,0))),F46)</f>
        <v/>
      </c>
      <c r="H46" s="12"/>
      <c r="I46" s="14"/>
      <c r="J46" s="63" t="str">
        <f t="shared" ca="1" si="18"/>
        <v>bubbles</v>
      </c>
      <c r="K46" s="63">
        <f t="shared" ca="1" si="19"/>
        <v>0</v>
      </c>
      <c r="L46" s="63" t="str">
        <f ca="1">IF(K46="fontFamily","fontFamily",IF(K46="fontSize","fontSize",IFERROR(INDEX(Elements!M:M,MATCH(Design!J46&amp;"|"&amp;Design!K46,Elements!N:N,0)),"")))</f>
        <v/>
      </c>
      <c r="M46" s="65" t="str">
        <f ca="1">IF(OR(L46="",L46="fill"),"",MATCH(IF(L46="enumeration",J46&amp;"|"&amp;G46,Design!L46),Elements!N:N,0))</f>
        <v/>
      </c>
      <c r="N46" s="65" t="str">
        <f t="shared" si="7"/>
        <v/>
      </c>
      <c r="O46" s="65" t="str">
        <f ca="1">"Elements!"&amp;INDEX(Elements!H:H,MATCH(Design!J46,Elements!J:J,0))</f>
        <v>Elements!K7:K7</v>
      </c>
      <c r="P46" s="65" t="str">
        <f t="shared" ca="1" si="16"/>
        <v>"</v>
      </c>
      <c r="Q46" s="75"/>
      <c r="R46" s="5" t="str">
        <f t="shared" si="17"/>
        <v/>
      </c>
      <c r="S46" s="5" t="str">
        <f t="shared" si="13"/>
        <v/>
      </c>
      <c r="T46" s="76" t="str">
        <f t="shared" si="14"/>
        <v/>
      </c>
      <c r="U46" s="5">
        <f t="shared" si="15"/>
        <v>0</v>
      </c>
      <c r="V46" s="5">
        <f t="shared" si="15"/>
        <v>0</v>
      </c>
      <c r="W46" s="77" t="str">
        <f t="shared" si="8"/>
        <v/>
      </c>
      <c r="X46" s="65" t="str">
        <f t="shared" si="9"/>
        <v/>
      </c>
      <c r="Y46" s="78" t="str">
        <f t="shared" si="10"/>
        <v/>
      </c>
      <c r="Z46" s="21"/>
      <c r="AA46" s="138"/>
      <c r="AB46" s="21"/>
    </row>
    <row r="47" spans="1:28" x14ac:dyDescent="0.25">
      <c r="A47" s="21"/>
      <c r="B47" s="16"/>
      <c r="C47" s="86" t="str">
        <f>IF(B47="","",INDEX(Elements!B:B,MATCH(Design!B47,Elements!A:A,0)))</f>
        <v/>
      </c>
      <c r="D47" s="17"/>
      <c r="E47" s="86" t="str">
        <f>IFERROR(IF(D47="","",INDEX(Elements!J:J,MATCH(Design!D47,Elements!I:I,0))),SUBSTITUTE(D47," ",""))</f>
        <v/>
      </c>
      <c r="F47" s="17"/>
      <c r="G47" s="85" t="str">
        <f>IFERROR(IF(F47="","",INDEX(Elements!L:L,MATCH(Design!F47,Elements!K:K,0))),F47)</f>
        <v/>
      </c>
      <c r="H47" s="12"/>
      <c r="I47" s="14"/>
      <c r="J47" s="63" t="str">
        <f t="shared" ca="1" si="18"/>
        <v>bubbles</v>
      </c>
      <c r="K47" s="63">
        <f t="shared" ca="1" si="19"/>
        <v>0</v>
      </c>
      <c r="L47" s="63" t="str">
        <f ca="1">IF(K47="fontFamily","fontFamily",IF(K47="fontSize","fontSize",IFERROR(INDEX(Elements!M:M,MATCH(Design!J47&amp;"|"&amp;Design!K47,Elements!N:N,0)),"")))</f>
        <v/>
      </c>
      <c r="M47" s="65" t="str">
        <f ca="1">IF(OR(L47="",L47="fill"),"",MATCH(IF(L47="enumeration",J47&amp;"|"&amp;G47,Design!L47),Elements!N:N,0))</f>
        <v/>
      </c>
      <c r="N47" s="65" t="str">
        <f t="shared" si="7"/>
        <v/>
      </c>
      <c r="O47" s="65" t="str">
        <f ca="1">"Elements!"&amp;INDEX(Elements!H:H,MATCH(Design!J47,Elements!J:J,0))</f>
        <v>Elements!K7:K7</v>
      </c>
      <c r="P47" s="65" t="str">
        <f t="shared" ca="1" si="16"/>
        <v>"</v>
      </c>
      <c r="Q47" s="75"/>
      <c r="R47" s="5" t="str">
        <f t="shared" si="17"/>
        <v/>
      </c>
      <c r="S47" s="5" t="str">
        <f t="shared" si="13"/>
        <v/>
      </c>
      <c r="T47" s="76" t="str">
        <f t="shared" si="14"/>
        <v/>
      </c>
      <c r="U47" s="5">
        <f t="shared" si="15"/>
        <v>0</v>
      </c>
      <c r="V47" s="5">
        <f t="shared" si="15"/>
        <v>0</v>
      </c>
      <c r="W47" s="77" t="str">
        <f t="shared" si="8"/>
        <v/>
      </c>
      <c r="X47" s="65" t="str">
        <f t="shared" si="9"/>
        <v/>
      </c>
      <c r="Y47" s="78" t="str">
        <f t="shared" si="10"/>
        <v/>
      </c>
      <c r="Z47" s="21"/>
      <c r="AA47" s="138"/>
      <c r="AB47" s="21"/>
    </row>
    <row r="48" spans="1:28" x14ac:dyDescent="0.25">
      <c r="A48" s="21"/>
      <c r="B48" s="16"/>
      <c r="C48" s="86" t="str">
        <f>IF(B48="","",INDEX(Elements!B:B,MATCH(Design!B48,Elements!A:A,0)))</f>
        <v/>
      </c>
      <c r="D48" s="17"/>
      <c r="E48" s="86" t="str">
        <f>IFERROR(IF(D48="","",INDEX(Elements!J:J,MATCH(Design!D48,Elements!I:I,0))),SUBSTITUTE(D48," ",""))</f>
        <v/>
      </c>
      <c r="F48" s="17"/>
      <c r="G48" s="85" t="str">
        <f>IFERROR(IF(F48="","",INDEX(Elements!L:L,MATCH(Design!F48,Elements!K:K,0))),F48)</f>
        <v/>
      </c>
      <c r="H48" s="12"/>
      <c r="I48" s="14"/>
      <c r="J48" s="63" t="str">
        <f t="shared" ca="1" si="18"/>
        <v>bubbles</v>
      </c>
      <c r="K48" s="63">
        <f t="shared" ca="1" si="19"/>
        <v>0</v>
      </c>
      <c r="L48" s="63" t="str">
        <f ca="1">IF(K48="fontFamily","fontFamily",IF(K48="fontSize","fontSize",IFERROR(INDEX(Elements!M:M,MATCH(Design!J48&amp;"|"&amp;Design!K48,Elements!N:N,0)),"")))</f>
        <v/>
      </c>
      <c r="M48" s="65" t="str">
        <f ca="1">IF(OR(L48="",L48="fill"),"",MATCH(IF(L48="enumeration",J48&amp;"|"&amp;G48,Design!L48),Elements!N:N,0))</f>
        <v/>
      </c>
      <c r="N48" s="65" t="str">
        <f t="shared" si="7"/>
        <v/>
      </c>
      <c r="O48" s="65" t="str">
        <f ca="1">"Elements!"&amp;INDEX(Elements!H:H,MATCH(Design!J48,Elements!J:J,0))</f>
        <v>Elements!K7:K7</v>
      </c>
      <c r="P48" s="65" t="str">
        <f t="shared" ca="1" si="16"/>
        <v>"</v>
      </c>
      <c r="Q48" s="75"/>
      <c r="R48" s="5" t="str">
        <f t="shared" si="17"/>
        <v/>
      </c>
      <c r="S48" s="5" t="str">
        <f t="shared" si="13"/>
        <v/>
      </c>
      <c r="T48" s="76" t="str">
        <f t="shared" si="14"/>
        <v/>
      </c>
      <c r="U48" s="5">
        <f t="shared" si="15"/>
        <v>0</v>
      </c>
      <c r="V48" s="5">
        <f t="shared" si="15"/>
        <v>0</v>
      </c>
      <c r="W48" s="77" t="str">
        <f t="shared" si="8"/>
        <v/>
      </c>
      <c r="X48" s="65" t="str">
        <f t="shared" si="9"/>
        <v/>
      </c>
      <c r="Y48" s="78" t="str">
        <f t="shared" si="10"/>
        <v/>
      </c>
      <c r="Z48" s="21"/>
      <c r="AA48" s="138"/>
      <c r="AB48" s="21"/>
    </row>
    <row r="49" spans="1:28" x14ac:dyDescent="0.25">
      <c r="A49" s="21"/>
      <c r="B49" s="16"/>
      <c r="C49" s="86" t="str">
        <f>IF(B49="","",INDEX(Elements!B:B,MATCH(Design!B49,Elements!A:A,0)))</f>
        <v/>
      </c>
      <c r="D49" s="17"/>
      <c r="E49" s="86" t="str">
        <f>IFERROR(IF(D49="","",INDEX(Elements!J:J,MATCH(Design!D49,Elements!I:I,0))),SUBSTITUTE(D49," ",""))</f>
        <v/>
      </c>
      <c r="F49" s="17"/>
      <c r="G49" s="85" t="str">
        <f>IFERROR(IF(F49="","",INDEX(Elements!L:L,MATCH(Design!F49,Elements!K:K,0))),F49)</f>
        <v/>
      </c>
      <c r="H49" s="12"/>
      <c r="I49" s="14"/>
      <c r="J49" s="63" t="str">
        <f t="shared" ca="1" si="18"/>
        <v>bubbles</v>
      </c>
      <c r="K49" s="63">
        <f t="shared" ca="1" si="19"/>
        <v>0</v>
      </c>
      <c r="L49" s="63" t="str">
        <f ca="1">IF(K49="fontFamily","fontFamily",IF(K49="fontSize","fontSize",IFERROR(INDEX(Elements!M:M,MATCH(Design!J49&amp;"|"&amp;Design!K49,Elements!N:N,0)),"")))</f>
        <v/>
      </c>
      <c r="M49" s="65" t="str">
        <f ca="1">IF(OR(L49="",L49="fill"),"",MATCH(IF(L49="enumeration",J49&amp;"|"&amp;G49,Design!L49),Elements!N:N,0))</f>
        <v/>
      </c>
      <c r="N49" s="65" t="str">
        <f t="shared" si="7"/>
        <v/>
      </c>
      <c r="O49" s="65" t="str">
        <f ca="1">"Elements!"&amp;INDEX(Elements!H:H,MATCH(Design!J49,Elements!J:J,0))</f>
        <v>Elements!K7:K7</v>
      </c>
      <c r="P49" s="65" t="str">
        <f t="shared" ca="1" si="16"/>
        <v>"</v>
      </c>
      <c r="Q49" s="75"/>
      <c r="R49" s="5" t="str">
        <f t="shared" si="17"/>
        <v/>
      </c>
      <c r="S49" s="5" t="str">
        <f t="shared" si="13"/>
        <v/>
      </c>
      <c r="T49" s="76" t="str">
        <f t="shared" si="14"/>
        <v/>
      </c>
      <c r="U49" s="5">
        <f t="shared" si="15"/>
        <v>0</v>
      </c>
      <c r="V49" s="5">
        <f t="shared" si="15"/>
        <v>0</v>
      </c>
      <c r="W49" s="77" t="str">
        <f t="shared" si="8"/>
        <v/>
      </c>
      <c r="X49" s="65" t="str">
        <f t="shared" si="9"/>
        <v/>
      </c>
      <c r="Y49" s="78" t="str">
        <f t="shared" si="10"/>
        <v/>
      </c>
      <c r="Z49" s="21"/>
      <c r="AA49" s="138"/>
      <c r="AB49" s="21"/>
    </row>
    <row r="50" spans="1:28" x14ac:dyDescent="0.25">
      <c r="A50" s="21"/>
      <c r="B50" s="16"/>
      <c r="C50" s="86" t="str">
        <f>IF(B50="","",INDEX(Elements!B:B,MATCH(Design!B50,Elements!A:A,0)))</f>
        <v/>
      </c>
      <c r="D50" s="17"/>
      <c r="E50" s="86" t="str">
        <f>IFERROR(IF(D50="","",INDEX(Elements!J:J,MATCH(Design!D50,Elements!I:I,0))),SUBSTITUTE(D50," ",""))</f>
        <v/>
      </c>
      <c r="F50" s="17"/>
      <c r="G50" s="85" t="str">
        <f>IFERROR(IF(F50="","",INDEX(Elements!L:L,MATCH(Design!F50,Elements!K:K,0))),F50)</f>
        <v/>
      </c>
      <c r="H50" s="12"/>
      <c r="I50" s="14"/>
      <c r="J50" s="63" t="str">
        <f t="shared" ca="1" si="18"/>
        <v>bubbles</v>
      </c>
      <c r="K50" s="63">
        <f t="shared" ca="1" si="19"/>
        <v>0</v>
      </c>
      <c r="L50" s="63" t="str">
        <f ca="1">IF(K50="fontFamily","fontFamily",IF(K50="fontSize","fontSize",IFERROR(INDEX(Elements!M:M,MATCH(Design!J50&amp;"|"&amp;Design!K50,Elements!N:N,0)),"")))</f>
        <v/>
      </c>
      <c r="M50" s="65" t="str">
        <f ca="1">IF(OR(L50="",L50="fill"),"",MATCH(IF(L50="enumeration",J50&amp;"|"&amp;G50,Design!L50),Elements!N:N,0))</f>
        <v/>
      </c>
      <c r="N50" s="65" t="str">
        <f t="shared" si="7"/>
        <v/>
      </c>
      <c r="O50" s="65" t="str">
        <f ca="1">"Elements!"&amp;INDEX(Elements!H:H,MATCH(Design!J50,Elements!J:J,0))</f>
        <v>Elements!K7:K7</v>
      </c>
      <c r="P50" s="65" t="str">
        <f t="shared" ca="1" si="16"/>
        <v>"</v>
      </c>
      <c r="Q50" s="75"/>
      <c r="R50" s="5" t="str">
        <f t="shared" si="17"/>
        <v/>
      </c>
      <c r="S50" s="5" t="str">
        <f t="shared" si="13"/>
        <v/>
      </c>
      <c r="T50" s="76" t="str">
        <f t="shared" si="14"/>
        <v/>
      </c>
      <c r="U50" s="5">
        <f t="shared" si="15"/>
        <v>0</v>
      </c>
      <c r="V50" s="5">
        <f t="shared" si="15"/>
        <v>0</v>
      </c>
      <c r="W50" s="77" t="str">
        <f t="shared" si="8"/>
        <v/>
      </c>
      <c r="X50" s="65" t="str">
        <f t="shared" si="9"/>
        <v/>
      </c>
      <c r="Y50" s="78" t="str">
        <f t="shared" si="10"/>
        <v/>
      </c>
      <c r="Z50" s="21"/>
      <c r="AA50" s="138"/>
      <c r="AB50" s="21"/>
    </row>
    <row r="51" spans="1:28" x14ac:dyDescent="0.25">
      <c r="A51" s="21"/>
      <c r="B51" s="16"/>
      <c r="C51" s="86" t="str">
        <f>IF(B51="","",INDEX(Elements!B:B,MATCH(Design!B51,Elements!A:A,0)))</f>
        <v/>
      </c>
      <c r="D51" s="17"/>
      <c r="E51" s="86" t="str">
        <f>IFERROR(IF(D51="","",INDEX(Elements!J:J,MATCH(Design!D51,Elements!I:I,0))),SUBSTITUTE(D51," ",""))</f>
        <v/>
      </c>
      <c r="F51" s="17"/>
      <c r="G51" s="85" t="str">
        <f>IFERROR(IF(F51="","",INDEX(Elements!L:L,MATCH(Design!F51,Elements!K:K,0))),F51)</f>
        <v/>
      </c>
      <c r="H51" s="12"/>
      <c r="I51" s="14"/>
      <c r="J51" s="63" t="str">
        <f t="shared" ca="1" si="18"/>
        <v>bubbles</v>
      </c>
      <c r="K51" s="63">
        <f t="shared" ca="1" si="19"/>
        <v>0</v>
      </c>
      <c r="L51" s="63" t="str">
        <f ca="1">IF(K51="fontFamily","fontFamily",IF(K51="fontSize","fontSize",IFERROR(INDEX(Elements!M:M,MATCH(Design!J51&amp;"|"&amp;Design!K51,Elements!N:N,0)),"")))</f>
        <v/>
      </c>
      <c r="M51" s="65" t="str">
        <f ca="1">IF(OR(L51="",L51="fill"),"",MATCH(IF(L51="enumeration",J51&amp;"|"&amp;G51,Design!L51),Elements!N:N,0))</f>
        <v/>
      </c>
      <c r="N51" s="65" t="str">
        <f t="shared" si="7"/>
        <v/>
      </c>
      <c r="O51" s="65" t="str">
        <f ca="1">"Elements!"&amp;INDEX(Elements!H:H,MATCH(Design!J51,Elements!J:J,0))</f>
        <v>Elements!K7:K7</v>
      </c>
      <c r="P51" s="65" t="str">
        <f t="shared" ca="1" si="16"/>
        <v>"</v>
      </c>
      <c r="Q51" s="75"/>
      <c r="R51" s="5" t="str">
        <f t="shared" si="17"/>
        <v/>
      </c>
      <c r="S51" s="5" t="str">
        <f t="shared" si="13"/>
        <v/>
      </c>
      <c r="T51" s="76" t="str">
        <f t="shared" si="14"/>
        <v/>
      </c>
      <c r="U51" s="5">
        <f t="shared" si="15"/>
        <v>0</v>
      </c>
      <c r="V51" s="5">
        <f t="shared" si="15"/>
        <v>0</v>
      </c>
      <c r="W51" s="77" t="str">
        <f t="shared" si="8"/>
        <v/>
      </c>
      <c r="X51" s="65" t="str">
        <f t="shared" si="9"/>
        <v/>
      </c>
      <c r="Y51" s="78" t="str">
        <f t="shared" si="10"/>
        <v/>
      </c>
      <c r="Z51" s="21"/>
      <c r="AA51" s="138"/>
      <c r="AB51" s="21"/>
    </row>
    <row r="52" spans="1:28" x14ac:dyDescent="0.25">
      <c r="A52" s="21"/>
      <c r="B52" s="16"/>
      <c r="C52" s="86" t="str">
        <f>IF(B52="","",INDEX(Elements!B:B,MATCH(Design!B52,Elements!A:A,0)))</f>
        <v/>
      </c>
      <c r="D52" s="17"/>
      <c r="E52" s="86" t="str">
        <f>IFERROR(IF(D52="","",INDEX(Elements!J:J,MATCH(Design!D52,Elements!I:I,0))),SUBSTITUTE(D52," ",""))</f>
        <v/>
      </c>
      <c r="F52" s="17"/>
      <c r="G52" s="85" t="str">
        <f>IFERROR(IF(F52="","",INDEX(Elements!L:L,MATCH(Design!F52,Elements!K:K,0))),F52)</f>
        <v/>
      </c>
      <c r="H52" s="12"/>
      <c r="I52" s="14"/>
      <c r="J52" s="63" t="str">
        <f t="shared" ca="1" si="18"/>
        <v>bubbles</v>
      </c>
      <c r="K52" s="63">
        <f t="shared" ca="1" si="19"/>
        <v>0</v>
      </c>
      <c r="L52" s="63" t="str">
        <f ca="1">IF(K52="fontFamily","fontFamily",IF(K52="fontSize","fontSize",IFERROR(INDEX(Elements!M:M,MATCH(Design!J52&amp;"|"&amp;Design!K52,Elements!N:N,0)),"")))</f>
        <v/>
      </c>
      <c r="M52" s="65" t="str">
        <f ca="1">IF(OR(L52="",L52="fill"),"",MATCH(IF(L52="enumeration",J52&amp;"|"&amp;G52,Design!L52),Elements!N:N,0))</f>
        <v/>
      </c>
      <c r="N52" s="65" t="str">
        <f t="shared" si="7"/>
        <v/>
      </c>
      <c r="O52" s="65" t="str">
        <f ca="1">"Elements!"&amp;INDEX(Elements!H:H,MATCH(Design!J52,Elements!J:J,0))</f>
        <v>Elements!K7:K7</v>
      </c>
      <c r="P52" s="65" t="str">
        <f t="shared" ca="1" si="16"/>
        <v>"</v>
      </c>
      <c r="Q52" s="75"/>
      <c r="R52" s="5" t="str">
        <f t="shared" si="17"/>
        <v/>
      </c>
      <c r="S52" s="5" t="str">
        <f t="shared" si="13"/>
        <v/>
      </c>
      <c r="T52" s="76" t="str">
        <f t="shared" si="14"/>
        <v/>
      </c>
      <c r="U52" s="5">
        <f t="shared" si="15"/>
        <v>0</v>
      </c>
      <c r="V52" s="5">
        <f t="shared" si="15"/>
        <v>0</v>
      </c>
      <c r="W52" s="77" t="str">
        <f t="shared" si="8"/>
        <v/>
      </c>
      <c r="X52" s="65" t="str">
        <f t="shared" si="9"/>
        <v/>
      </c>
      <c r="Y52" s="78" t="str">
        <f t="shared" si="10"/>
        <v/>
      </c>
      <c r="Z52" s="21"/>
      <c r="AA52" s="138"/>
      <c r="AB52" s="21"/>
    </row>
    <row r="53" spans="1:28" x14ac:dyDescent="0.25">
      <c r="A53" s="21"/>
      <c r="B53" s="16"/>
      <c r="C53" s="86" t="str">
        <f>IF(B53="","",INDEX(Elements!B:B,MATCH(Design!B53,Elements!A:A,0)))</f>
        <v/>
      </c>
      <c r="D53" s="17"/>
      <c r="E53" s="86" t="str">
        <f>IFERROR(IF(D53="","",INDEX(Elements!J:J,MATCH(Design!D53,Elements!I:I,0))),SUBSTITUTE(D53," ",""))</f>
        <v/>
      </c>
      <c r="F53" s="17"/>
      <c r="G53" s="85" t="str">
        <f>IFERROR(IF(F53="","",INDEX(Elements!L:L,MATCH(Design!F53,Elements!K:K,0))),F53)</f>
        <v/>
      </c>
      <c r="H53" s="12"/>
      <c r="I53" s="14"/>
      <c r="J53" s="63" t="str">
        <f t="shared" ca="1" si="18"/>
        <v>bubbles</v>
      </c>
      <c r="K53" s="63">
        <f t="shared" ca="1" si="19"/>
        <v>0</v>
      </c>
      <c r="L53" s="63" t="str">
        <f ca="1">IF(K53="fontFamily","fontFamily",IF(K53="fontSize","fontSize",IFERROR(INDEX(Elements!M:M,MATCH(Design!J53&amp;"|"&amp;Design!K53,Elements!N:N,0)),"")))</f>
        <v/>
      </c>
      <c r="M53" s="65" t="str">
        <f ca="1">IF(OR(L53="",L53="fill"),"",MATCH(IF(L53="enumeration",J53&amp;"|"&amp;G53,Design!L53),Elements!N:N,0))</f>
        <v/>
      </c>
      <c r="N53" s="65" t="str">
        <f t="shared" si="7"/>
        <v/>
      </c>
      <c r="O53" s="65" t="str">
        <f ca="1">"Elements!"&amp;INDEX(Elements!H:H,MATCH(Design!J53,Elements!J:J,0))</f>
        <v>Elements!K7:K7</v>
      </c>
      <c r="P53" s="65" t="str">
        <f t="shared" ca="1" si="16"/>
        <v>"</v>
      </c>
      <c r="Q53" s="75"/>
      <c r="R53" s="5" t="str">
        <f t="shared" si="17"/>
        <v/>
      </c>
      <c r="S53" s="5" t="str">
        <f t="shared" si="13"/>
        <v/>
      </c>
      <c r="T53" s="76" t="str">
        <f t="shared" si="14"/>
        <v/>
      </c>
      <c r="U53" s="5">
        <f t="shared" si="15"/>
        <v>0</v>
      </c>
      <c r="V53" s="5">
        <f t="shared" si="15"/>
        <v>0</v>
      </c>
      <c r="W53" s="77" t="str">
        <f t="shared" si="8"/>
        <v/>
      </c>
      <c r="X53" s="65" t="str">
        <f t="shared" si="9"/>
        <v/>
      </c>
      <c r="Y53" s="78" t="str">
        <f t="shared" si="10"/>
        <v/>
      </c>
      <c r="Z53" s="21"/>
      <c r="AA53" s="138"/>
      <c r="AB53" s="21"/>
    </row>
    <row r="54" spans="1:28" x14ac:dyDescent="0.25">
      <c r="A54" s="21"/>
      <c r="B54" s="16"/>
      <c r="C54" s="86" t="str">
        <f>IF(B54="","",INDEX(Elements!B:B,MATCH(Design!B54,Elements!A:A,0)))</f>
        <v/>
      </c>
      <c r="D54" s="17"/>
      <c r="E54" s="86" t="str">
        <f>IFERROR(IF(D54="","",INDEX(Elements!J:J,MATCH(Design!D54,Elements!I:I,0))),SUBSTITUTE(D54," ",""))</f>
        <v/>
      </c>
      <c r="F54" s="17"/>
      <c r="G54" s="85" t="str">
        <f>IFERROR(IF(F54="","",INDEX(Elements!L:L,MATCH(Design!F54,Elements!K:K,0))),F54)</f>
        <v/>
      </c>
      <c r="H54" s="12"/>
      <c r="I54" s="14"/>
      <c r="J54" s="63" t="str">
        <f t="shared" ca="1" si="18"/>
        <v>bubbles</v>
      </c>
      <c r="K54" s="63">
        <f t="shared" ca="1" si="19"/>
        <v>0</v>
      </c>
      <c r="L54" s="63" t="str">
        <f ca="1">IF(K54="fontFamily","fontFamily",IF(K54="fontSize","fontSize",IFERROR(INDEX(Elements!M:M,MATCH(Design!J54&amp;"|"&amp;Design!K54,Elements!N:N,0)),"")))</f>
        <v/>
      </c>
      <c r="M54" s="65" t="str">
        <f ca="1">IF(OR(L54="",L54="fill"),"",MATCH(IF(L54="enumeration",J54&amp;"|"&amp;G54,Design!L54),Elements!N:N,0))</f>
        <v/>
      </c>
      <c r="N54" s="65" t="str">
        <f t="shared" si="7"/>
        <v/>
      </c>
      <c r="O54" s="65" t="str">
        <f ca="1">"Elements!"&amp;INDEX(Elements!H:H,MATCH(Design!J54,Elements!J:J,0))</f>
        <v>Elements!K7:K7</v>
      </c>
      <c r="P54" s="65" t="str">
        <f t="shared" ca="1" si="16"/>
        <v>"</v>
      </c>
      <c r="Q54" s="75"/>
      <c r="R54" s="5" t="str">
        <f t="shared" si="17"/>
        <v/>
      </c>
      <c r="S54" s="5" t="str">
        <f t="shared" si="13"/>
        <v/>
      </c>
      <c r="T54" s="76" t="str">
        <f t="shared" si="14"/>
        <v/>
      </c>
      <c r="U54" s="5">
        <f t="shared" si="15"/>
        <v>0</v>
      </c>
      <c r="V54" s="5">
        <f t="shared" si="15"/>
        <v>0</v>
      </c>
      <c r="W54" s="77" t="str">
        <f t="shared" si="8"/>
        <v/>
      </c>
      <c r="X54" s="65" t="str">
        <f t="shared" si="9"/>
        <v/>
      </c>
      <c r="Y54" s="78" t="str">
        <f t="shared" si="10"/>
        <v/>
      </c>
      <c r="Z54" s="21"/>
      <c r="AA54" s="138"/>
      <c r="AB54" s="21"/>
    </row>
    <row r="55" spans="1:28" x14ac:dyDescent="0.25">
      <c r="A55" s="21"/>
      <c r="B55" s="16"/>
      <c r="C55" s="86" t="str">
        <f>IF(B55="","",INDEX(Elements!B:B,MATCH(Design!B55,Elements!A:A,0)))</f>
        <v/>
      </c>
      <c r="D55" s="17"/>
      <c r="E55" s="86" t="str">
        <f>IFERROR(IF(D55="","",INDEX(Elements!J:J,MATCH(Design!D55,Elements!I:I,0))),SUBSTITUTE(D55," ",""))</f>
        <v/>
      </c>
      <c r="F55" s="17"/>
      <c r="G55" s="85" t="str">
        <f>IFERROR(IF(F55="","",INDEX(Elements!L:L,MATCH(Design!F55,Elements!K:K,0))),F55)</f>
        <v/>
      </c>
      <c r="H55" s="12"/>
      <c r="I55" s="14"/>
      <c r="J55" s="63" t="str">
        <f t="shared" ca="1" si="18"/>
        <v>bubbles</v>
      </c>
      <c r="K55" s="63">
        <f t="shared" ca="1" si="19"/>
        <v>0</v>
      </c>
      <c r="L55" s="63" t="str">
        <f ca="1">IF(K55="fontFamily","fontFamily",IF(K55="fontSize","fontSize",IFERROR(INDEX(Elements!M:M,MATCH(Design!J55&amp;"|"&amp;Design!K55,Elements!N:N,0)),"")))</f>
        <v/>
      </c>
      <c r="M55" s="65" t="str">
        <f ca="1">IF(OR(L55="",L55="fill"),"",MATCH(IF(L55="enumeration",J55&amp;"|"&amp;G55,Design!L55),Elements!N:N,0))</f>
        <v/>
      </c>
      <c r="N55" s="65" t="str">
        <f t="shared" si="7"/>
        <v/>
      </c>
      <c r="O55" s="65" t="str">
        <f ca="1">"Elements!"&amp;INDEX(Elements!H:H,MATCH(Design!J55,Elements!J:J,0))</f>
        <v>Elements!K7:K7</v>
      </c>
      <c r="P55" s="65" t="str">
        <f t="shared" ca="1" si="16"/>
        <v>"</v>
      </c>
      <c r="Q55" s="75"/>
      <c r="R55" s="5" t="str">
        <f t="shared" si="17"/>
        <v/>
      </c>
      <c r="S55" s="5" t="str">
        <f t="shared" si="13"/>
        <v/>
      </c>
      <c r="T55" s="76" t="str">
        <f t="shared" si="14"/>
        <v/>
      </c>
      <c r="U55" s="5">
        <f t="shared" si="15"/>
        <v>0</v>
      </c>
      <c r="V55" s="5">
        <f t="shared" si="15"/>
        <v>0</v>
      </c>
      <c r="W55" s="77" t="str">
        <f t="shared" si="8"/>
        <v/>
      </c>
      <c r="X55" s="65" t="str">
        <f t="shared" si="9"/>
        <v/>
      </c>
      <c r="Y55" s="78" t="str">
        <f t="shared" si="10"/>
        <v/>
      </c>
      <c r="Z55" s="21"/>
      <c r="AA55" s="138"/>
      <c r="AB55" s="21"/>
    </row>
    <row r="56" spans="1:28" ht="15.75" thickBot="1" x14ac:dyDescent="0.3">
      <c r="A56" s="21"/>
      <c r="B56" s="16"/>
      <c r="C56" s="86" t="str">
        <f>IF(B56="","",INDEX(Elements!B:B,MATCH(Design!B56,Elements!A:A,0)))</f>
        <v/>
      </c>
      <c r="D56" s="17"/>
      <c r="E56" s="86" t="str">
        <f>IFERROR(IF(D56="","",INDEX(Elements!J:J,MATCH(Design!D56,Elements!I:I,0))),SUBSTITUTE(D56," ",""))</f>
        <v/>
      </c>
      <c r="F56" s="17"/>
      <c r="G56" s="86" t="str">
        <f>IFERROR(IF(F56="","",INDEX(Elements!L:L,MATCH(Design!F56,Elements!K:K,0))),F56)</f>
        <v/>
      </c>
      <c r="H56" s="108"/>
      <c r="I56" s="109"/>
      <c r="J56" s="63" t="str">
        <f t="shared" ca="1" si="18"/>
        <v>bubbles</v>
      </c>
      <c r="K56" s="63">
        <f t="shared" ca="1" si="19"/>
        <v>0</v>
      </c>
      <c r="L56" s="63" t="str">
        <f ca="1">IF(K56="fontFamily","fontFamily",IF(K56="fontSize","fontSize",IFERROR(INDEX(Elements!M:M,MATCH(Design!J56&amp;"|"&amp;Design!K56,Elements!N:N,0)),"")))</f>
        <v/>
      </c>
      <c r="M56" s="65" t="str">
        <f ca="1">IF(OR(L56="",L56="fill"),"",MATCH(IF(L56="enumeration",J56&amp;"|"&amp;G56,Design!L56),Elements!N:N,0))</f>
        <v/>
      </c>
      <c r="N56" s="65" t="str">
        <f t="shared" si="7"/>
        <v/>
      </c>
      <c r="O56" s="65" t="str">
        <f ca="1">"Elements!"&amp;INDEX(Elements!H:H,MATCH(Design!J56,Elements!J:J,0))</f>
        <v>Elements!K7:K7</v>
      </c>
      <c r="P56" s="65" t="str">
        <f t="shared" ca="1" si="16"/>
        <v>"</v>
      </c>
      <c r="Q56" s="75"/>
      <c r="R56" s="5" t="str">
        <f t="shared" si="17"/>
        <v/>
      </c>
      <c r="S56" s="5" t="str">
        <f t="shared" si="13"/>
        <v/>
      </c>
      <c r="T56" s="76" t="str">
        <f t="shared" si="14"/>
        <v/>
      </c>
      <c r="U56" s="5">
        <f t="shared" si="15"/>
        <v>0</v>
      </c>
      <c r="V56" s="5">
        <f t="shared" si="15"/>
        <v>0</v>
      </c>
      <c r="W56" s="77" t="str">
        <f t="shared" si="8"/>
        <v/>
      </c>
      <c r="X56" s="65" t="str">
        <f t="shared" si="9"/>
        <v/>
      </c>
      <c r="Y56" s="78" t="str">
        <f t="shared" si="10"/>
        <v/>
      </c>
      <c r="Z56" s="21"/>
      <c r="AA56" s="138"/>
      <c r="AB56" s="21"/>
    </row>
    <row r="57" spans="1:28" ht="48.95" customHeight="1" thickTop="1" x14ac:dyDescent="0.25">
      <c r="A57" s="21"/>
      <c r="B57" s="110" t="s">
        <v>530</v>
      </c>
      <c r="C57" s="145" t="s">
        <v>547</v>
      </c>
      <c r="D57" s="145"/>
      <c r="E57" s="145"/>
      <c r="F57" s="145"/>
      <c r="G57" s="145"/>
      <c r="H57" s="144" t="s">
        <v>548</v>
      </c>
      <c r="I57" s="144"/>
      <c r="J57" s="63" t="str">
        <f t="shared" ca="1" si="11"/>
        <v>bubbles</v>
      </c>
      <c r="K57" s="71"/>
      <c r="L57" s="63" t="str">
        <f ca="1">IF(K57="fontFamily","fontFamily",IF(K57="fontSize","fontSize",IFERROR(INDEX(Elements!M:M,MATCH(Design!J57&amp;"|"&amp;Design!K57,Elements!N:N,0)),"")))</f>
        <v/>
      </c>
      <c r="M57" s="65" t="str">
        <f ca="1">IF(OR(L57="",L57="fill"),"",MATCH(IF(L57="enumeration",J57&amp;"|"&amp;G57,Design!L57),Elements!N:N,0))</f>
        <v/>
      </c>
      <c r="N57" s="65" t="str">
        <f t="shared" si="7"/>
        <v/>
      </c>
      <c r="O57" s="65" t="str">
        <f ca="1">"Elements!"&amp;INDEX(Elements!H:H,MATCH(Design!J57,Elements!J:J,0))</f>
        <v>Elements!K7:K7</v>
      </c>
      <c r="P57" s="65" t="str">
        <f t="shared" ca="1" si="16"/>
        <v>"</v>
      </c>
      <c r="Q57" s="75" t="s">
        <v>535</v>
      </c>
      <c r="R57" s="5"/>
      <c r="S57" s="5"/>
      <c r="T57" s="76" t="str">
        <f t="shared" si="14"/>
        <v>}]</v>
      </c>
      <c r="U57" s="5">
        <f t="shared" si="15"/>
        <v>0</v>
      </c>
      <c r="V57" s="5">
        <f t="shared" si="15"/>
        <v>1</v>
      </c>
      <c r="W57" s="77" t="str">
        <f t="shared" si="8"/>
        <v/>
      </c>
      <c r="X57" s="65" t="str">
        <f t="shared" si="9"/>
        <v/>
      </c>
      <c r="Y57" s="78" t="str">
        <f t="shared" si="10"/>
        <v/>
      </c>
      <c r="Z57" s="21"/>
      <c r="AA57" s="138"/>
      <c r="AB57" s="21"/>
    </row>
    <row r="58" spans="1:28" x14ac:dyDescent="0.25">
      <c r="A58" s="21"/>
      <c r="B58" s="20" t="s">
        <v>196</v>
      </c>
      <c r="C58" s="84" t="str">
        <f>IF(B58="","",INDEX(Elements!B:B,MATCH(Design!B58,Elements!A:A,0)))</f>
        <v>pivotTable</v>
      </c>
      <c r="D58" s="15"/>
      <c r="E58" s="84" t="str">
        <f>IFERROR(IF(D58="","",INDEX(Elements!J:J,MATCH(Design!D58,Elements!I:I,0))),SUBSTITUTE(D58," ",""))</f>
        <v/>
      </c>
      <c r="F58" s="15"/>
      <c r="G58" s="84" t="str">
        <f>IFERROR(IF(F58="","",INDEX(Elements!L:L,MATCH(Design!F58,Elements!K:K,0))),F58)</f>
        <v/>
      </c>
      <c r="H58" s="12"/>
      <c r="I58" s="14"/>
      <c r="J58" s="63" t="str">
        <f t="shared" ca="1" si="11"/>
        <v>bubbles</v>
      </c>
      <c r="K58" s="63">
        <f t="shared" ref="K58:K121" ca="1" si="20">IFERROR(IF(G58="",INDIRECT("I"&amp;ROW()-1),G58),"")</f>
        <v>0</v>
      </c>
      <c r="L58" s="63" t="str">
        <f ca="1">IF(K58="fontFamily","fontFamily",IF(K58="fontSize","fontSize",IFERROR(INDEX(Elements!M:M,MATCH(Design!J58&amp;"|"&amp;Design!K58,Elements!N:N,0)),"")))</f>
        <v/>
      </c>
      <c r="M58" s="65" t="str">
        <f ca="1">IF(OR(L58="",L58="fill"),"",MATCH(IF(L58="enumeration",J58&amp;"|"&amp;G58,Design!L58),Elements!N:N,0))</f>
        <v/>
      </c>
      <c r="N58" s="65" t="str">
        <f t="shared" si="7"/>
        <v/>
      </c>
      <c r="O58" s="65" t="str">
        <f ca="1">"Elements!"&amp;INDEX(Elements!H:H,MATCH(Design!J58,Elements!J:J,0))</f>
        <v>Elements!K7:K7</v>
      </c>
      <c r="P58" s="65" t="str">
        <f t="shared" ca="1" si="16"/>
        <v>"</v>
      </c>
      <c r="Q58" s="75" t="str">
        <f ca="1">IF(C58&lt;&gt;"","}},"&amp;CHAR(34)&amp;C58&amp;CHAR(34)&amp;":{"&amp;CHAR(34)&amp;"*"&amp;CHAR(34)&amp;":{",IF(Design!$E58="","",IF(INDIRECT("C"&amp;ROW()-1)="",",","")))</f>
        <v>}},"pivotTable":{"*":{</v>
      </c>
      <c r="R58" s="5" t="str">
        <f>IF(E58="","",CHAR(34)&amp;E58&amp;CHAR(34)&amp;":[")</f>
        <v/>
      </c>
      <c r="S58" s="5" t="str">
        <f t="shared" ref="S58:S121" si="21">IF(G58="","",IF(G57&lt;&gt;"",",","")&amp;"{"&amp;CHAR(34)&amp;G58&amp;CHAR(34)&amp;":"&amp;P58&amp;H58&amp;I58&amp;P58&amp;"}")</f>
        <v/>
      </c>
      <c r="T58" s="76" t="str">
        <f t="shared" ref="T58:T61" ca="1" si="22">R58&amp;S58&amp;Q58</f>
        <v>}},"pivotTable":{"*":{</v>
      </c>
      <c r="U58" s="5">
        <f t="shared" ca="1" si="15"/>
        <v>2</v>
      </c>
      <c r="V58" s="5">
        <f t="shared" ca="1" si="15"/>
        <v>2</v>
      </c>
      <c r="W58" s="77" t="str">
        <f t="shared" si="8"/>
        <v/>
      </c>
      <c r="X58" s="65" t="str">
        <f t="shared" si="9"/>
        <v/>
      </c>
      <c r="Y58" s="78" t="str">
        <f t="shared" si="10"/>
        <v/>
      </c>
      <c r="Z58" s="21"/>
      <c r="AA58" s="138"/>
      <c r="AB58" s="21"/>
    </row>
    <row r="59" spans="1:28" x14ac:dyDescent="0.25">
      <c r="A59" s="21"/>
      <c r="B59" s="18"/>
      <c r="C59" s="85" t="str">
        <f>IF(B59="","",INDEX(Elements!B:B,MATCH(Design!B59,Elements!A:A,0)))</f>
        <v/>
      </c>
      <c r="D59" s="15" t="s">
        <v>146</v>
      </c>
      <c r="E59" s="85" t="str">
        <f>IFERROR(IF(D59="","",INDEX(Elements!J:J,MATCH(Design!D59,Elements!I:I,0))),SUBSTITUTE(D59," ",""))</f>
        <v>columnHeaders</v>
      </c>
      <c r="F59" s="15"/>
      <c r="G59" s="84" t="str">
        <f>IFERROR(IF(F59="","",INDEX(Elements!L:L,MATCH(Design!F59,Elements!K:K,0))),F59)</f>
        <v/>
      </c>
      <c r="H59" s="111"/>
      <c r="I59" s="14"/>
      <c r="J59" s="63" t="str">
        <f t="shared" ca="1" si="11"/>
        <v>columnHeaders</v>
      </c>
      <c r="K59" s="63">
        <f t="shared" ca="1" si="20"/>
        <v>0</v>
      </c>
      <c r="L59" s="63" t="str">
        <f ca="1">IF(K59="fontFamily","fontFamily",IF(K59="fontSize","fontSize",IFERROR(INDEX(Elements!M:M,MATCH(Design!J59&amp;"|"&amp;Design!K59,Elements!N:N,0)),"")))</f>
        <v/>
      </c>
      <c r="M59" s="65" t="str">
        <f ca="1">IF(OR(L59="",L59="fill"),"",MATCH(IF(L59="enumeration",J59&amp;"|"&amp;G59,Design!L59),Elements!N:N,0))</f>
        <v/>
      </c>
      <c r="N59" s="65" t="str">
        <f t="shared" si="7"/>
        <v/>
      </c>
      <c r="O59" s="65" t="str">
        <f ca="1">"Elements!"&amp;INDEX(Elements!H:H,MATCH(Design!J59,Elements!J:J,0))</f>
        <v>Elements!K36:K44</v>
      </c>
      <c r="P59" s="65" t="str">
        <f t="shared" ca="1" si="16"/>
        <v>"</v>
      </c>
      <c r="Q59" s="75" t="str">
        <f t="shared" ref="Q59:Q122" si="23">IF(C59&lt;&gt;"","}},"&amp;CHAR(34)&amp;C59&amp;CHAR(34)&amp;":{"&amp;CHAR(34)&amp;"*"&amp;CHAR(34)&amp;":{","")</f>
        <v/>
      </c>
      <c r="R59" s="5" t="str">
        <f t="shared" ref="R59:R122" si="24">IF(AND(S58&lt;&gt;"",G59=""),"]","")&amp;IF(E59="","",IF(C58="",",","")&amp;CHAR(34)&amp;E59&amp;CHAR(34)&amp;":[")</f>
        <v>"columnHeaders":[</v>
      </c>
      <c r="S59" s="5" t="str">
        <f t="shared" si="21"/>
        <v/>
      </c>
      <c r="T59" s="76" t="str">
        <f t="shared" si="22"/>
        <v>"columnHeaders":[</v>
      </c>
      <c r="U59" s="5">
        <f t="shared" si="15"/>
        <v>0</v>
      </c>
      <c r="V59" s="5">
        <f t="shared" si="15"/>
        <v>0</v>
      </c>
      <c r="W59" s="77" t="str">
        <f t="shared" si="8"/>
        <v/>
      </c>
      <c r="X59" s="65" t="str">
        <f t="shared" si="9"/>
        <v/>
      </c>
      <c r="Y59" s="78" t="str">
        <f t="shared" si="10"/>
        <v/>
      </c>
      <c r="Z59" s="21"/>
      <c r="AA59" s="138"/>
      <c r="AB59" s="21"/>
    </row>
    <row r="60" spans="1:28" x14ac:dyDescent="0.25">
      <c r="A60" s="21"/>
      <c r="B60" s="18"/>
      <c r="C60" s="85" t="str">
        <f>IF(B60="","",INDEX(Elements!B:B,MATCH(Design!B60,Elements!A:A,0)))</f>
        <v/>
      </c>
      <c r="D60" s="13"/>
      <c r="E60" s="85" t="str">
        <f>IFERROR(IF(D60="","",INDEX(Elements!J:J,MATCH(Design!D60,Elements!I:I,0))),SUBSTITUTE(D60," ",""))</f>
        <v/>
      </c>
      <c r="F60" s="13" t="s">
        <v>34</v>
      </c>
      <c r="G60" s="84" t="str">
        <f>IFERROR(IF(F60="","",INDEX(Elements!L:L,MATCH(Design!F60,Elements!K:K,0))),F60)</f>
        <v>backColor</v>
      </c>
      <c r="H60" s="135" t="s">
        <v>560</v>
      </c>
      <c r="I60" s="14"/>
      <c r="J60" s="63" t="str">
        <f t="shared" ca="1" si="11"/>
        <v>columnHeaders</v>
      </c>
      <c r="K60" s="63" t="str">
        <f t="shared" ca="1" si="20"/>
        <v>backColor</v>
      </c>
      <c r="L60" s="63" t="str">
        <f ca="1">IF(K60="fontFamily","fontFamily",IF(K60="fontSize","fontSize",IFERROR(INDEX(Elements!M:M,MATCH(Design!J60&amp;"|"&amp;Design!K60,Elements!N:N,0)),"")))</f>
        <v>fill</v>
      </c>
      <c r="M60" s="65" t="str">
        <f ca="1">IF(OR(L60="",L60="fill"),"",MATCH(IF(L60="enumeration",J60&amp;"|"&amp;G60,Design!L60),Elements!N:N,0))</f>
        <v/>
      </c>
      <c r="N60" s="65" t="str">
        <f t="shared" ca="1" si="7"/>
        <v>Design!$C$8:$H$9</v>
      </c>
      <c r="O60" s="65" t="str">
        <f ca="1">"Elements!"&amp;INDEX(Elements!H:H,MATCH(Design!J60,Elements!J:J,0))</f>
        <v>Elements!K36:K44</v>
      </c>
      <c r="P60" s="65" t="str">
        <f t="shared" ca="1" si="16"/>
        <v>"</v>
      </c>
      <c r="Q60" s="75" t="str">
        <f t="shared" si="23"/>
        <v/>
      </c>
      <c r="R60" s="5" t="str">
        <f t="shared" si="24"/>
        <v/>
      </c>
      <c r="S60" s="5" t="str">
        <f t="shared" ca="1" si="21"/>
        <v>{"backColor":"#44546A"}</v>
      </c>
      <c r="T60" s="76" t="str">
        <f t="shared" ca="1" si="22"/>
        <v>{"backColor":"#44546A"}</v>
      </c>
      <c r="U60" s="5">
        <f t="shared" ca="1" si="15"/>
        <v>1</v>
      </c>
      <c r="V60" s="5">
        <f t="shared" ca="1" si="15"/>
        <v>1</v>
      </c>
      <c r="W60" s="77">
        <f t="shared" si="8"/>
        <v>106</v>
      </c>
      <c r="X60" s="65">
        <f t="shared" si="9"/>
        <v>84</v>
      </c>
      <c r="Y60" s="78">
        <f t="shared" si="10"/>
        <v>68</v>
      </c>
      <c r="Z60" s="21"/>
      <c r="AA60" s="138"/>
      <c r="AB60" s="21"/>
    </row>
    <row r="61" spans="1:28" x14ac:dyDescent="0.25">
      <c r="A61" s="21"/>
      <c r="B61" s="18"/>
      <c r="C61" s="85" t="str">
        <f>IF(B61="","",INDEX(Elements!B:B,MATCH(Design!B61,Elements!A:A,0)))</f>
        <v/>
      </c>
      <c r="D61" s="15"/>
      <c r="E61" s="85" t="str">
        <f>IFERROR(IF(D61="","",INDEX(Elements!J:J,MATCH(Design!D61,Elements!I:I,0))),SUBSTITUTE(D61," ",""))</f>
        <v/>
      </c>
      <c r="F61" s="15" t="s">
        <v>33</v>
      </c>
      <c r="G61" s="84" t="str">
        <f>IFERROR(IF(F61="","",INDEX(Elements!L:L,MATCH(Design!F61,Elements!K:K,0))),F61)</f>
        <v>fontColor</v>
      </c>
      <c r="H61" s="101" t="s">
        <v>546</v>
      </c>
      <c r="I61" s="14"/>
      <c r="J61" s="63" t="str">
        <f t="shared" ca="1" si="11"/>
        <v>columnHeaders</v>
      </c>
      <c r="K61" s="63" t="str">
        <f t="shared" ca="1" si="20"/>
        <v>fontColor</v>
      </c>
      <c r="L61" s="63" t="str">
        <f ca="1">IF(K61="fontFamily","fontFamily",IF(K61="fontSize","fontSize",IFERROR(INDEX(Elements!M:M,MATCH(Design!J61&amp;"|"&amp;Design!K61,Elements!N:N,0)),"")))</f>
        <v>fill</v>
      </c>
      <c r="M61" s="65" t="str">
        <f ca="1">IF(OR(L61="",L61="fill"),"",MATCH(IF(L61="enumeration",J61&amp;"|"&amp;G61,Design!L61),Elements!N:N,0))</f>
        <v/>
      </c>
      <c r="N61" s="65" t="str">
        <f t="shared" ca="1" si="7"/>
        <v>Design!$C$8:$H$9</v>
      </c>
      <c r="O61" s="65" t="str">
        <f ca="1">"Elements!"&amp;INDEX(Elements!H:H,MATCH(Design!J61,Elements!J:J,0))</f>
        <v>Elements!K36:K44</v>
      </c>
      <c r="P61" s="65" t="str">
        <f t="shared" ca="1" si="16"/>
        <v>"</v>
      </c>
      <c r="Q61" s="75" t="str">
        <f t="shared" si="23"/>
        <v/>
      </c>
      <c r="R61" s="5" t="str">
        <f t="shared" ca="1" si="24"/>
        <v/>
      </c>
      <c r="S61" s="5" t="str">
        <f t="shared" ca="1" si="21"/>
        <v>,{"fontColor":"#FFFFFF"}</v>
      </c>
      <c r="T61" s="76" t="str">
        <f t="shared" ca="1" si="22"/>
        <v>,{"fontColor":"#FFFFFF"}</v>
      </c>
      <c r="U61" s="5">
        <f t="shared" ca="1" si="15"/>
        <v>1</v>
      </c>
      <c r="V61" s="5">
        <f t="shared" ca="1" si="15"/>
        <v>1</v>
      </c>
      <c r="W61" s="77">
        <f t="shared" si="8"/>
        <v>255</v>
      </c>
      <c r="X61" s="65">
        <f t="shared" si="9"/>
        <v>255</v>
      </c>
      <c r="Y61" s="78">
        <f t="shared" si="10"/>
        <v>255</v>
      </c>
      <c r="Z61" s="21"/>
      <c r="AA61" s="138"/>
      <c r="AB61" s="21"/>
    </row>
    <row r="62" spans="1:28" x14ac:dyDescent="0.25">
      <c r="A62" s="21"/>
      <c r="B62" s="18"/>
      <c r="C62" s="85" t="str">
        <f>IF(B62="","",INDEX(Elements!B:B,MATCH(Design!B62,Elements!A:A,0)))</f>
        <v/>
      </c>
      <c r="D62" s="13"/>
      <c r="E62" s="85" t="str">
        <f>IFERROR(IF(D62="","",INDEX(Elements!J:J,MATCH(Design!D62,Elements!I:I,0))),SUBSTITUTE(D62," ",""))</f>
        <v/>
      </c>
      <c r="F62" s="13"/>
      <c r="G62" s="84" t="str">
        <f>IFERROR(IF(F62="","",INDEX(Elements!L:L,MATCH(Design!F62,Elements!K:K,0))),F62)</f>
        <v/>
      </c>
      <c r="H62" s="12"/>
      <c r="I62" s="14"/>
      <c r="J62" s="63" t="str">
        <f t="shared" ca="1" si="11"/>
        <v>columnHeaders</v>
      </c>
      <c r="K62" s="63">
        <f t="shared" ca="1" si="20"/>
        <v>0</v>
      </c>
      <c r="L62" s="63" t="str">
        <f ca="1">IF(K62="fontFamily","fontFamily",IF(K62="fontSize","fontSize",IFERROR(INDEX(Elements!M:M,MATCH(Design!J62&amp;"|"&amp;Design!K62,Elements!N:N,0)),"")))</f>
        <v/>
      </c>
      <c r="M62" s="65" t="str">
        <f ca="1">IF(OR(L62="",L62="fill"),"",MATCH(IF(L62="enumeration",J62&amp;"|"&amp;G62,Design!L62),Elements!N:N,0))</f>
        <v/>
      </c>
      <c r="N62" s="65" t="str">
        <f t="shared" si="7"/>
        <v/>
      </c>
      <c r="O62" s="65" t="str">
        <f ca="1">"Elements!"&amp;INDEX(Elements!H:H,MATCH(Design!J62,Elements!J:J,0))</f>
        <v>Elements!K36:K44</v>
      </c>
      <c r="P62" s="65" t="str">
        <f t="shared" ca="1" si="16"/>
        <v>"</v>
      </c>
      <c r="Q62" s="75" t="str">
        <f t="shared" si="23"/>
        <v/>
      </c>
      <c r="R62" s="5" t="str">
        <f t="shared" ca="1" si="24"/>
        <v>]</v>
      </c>
      <c r="S62" s="5" t="str">
        <f t="shared" si="21"/>
        <v/>
      </c>
      <c r="T62" s="76" t="str">
        <f ca="1">R62&amp;S62&amp;Q62</f>
        <v>]</v>
      </c>
      <c r="U62" s="5">
        <f t="shared" ca="1" si="15"/>
        <v>0</v>
      </c>
      <c r="V62" s="5">
        <f t="shared" ca="1" si="15"/>
        <v>0</v>
      </c>
      <c r="W62" s="77" t="str">
        <f t="shared" si="8"/>
        <v/>
      </c>
      <c r="X62" s="65" t="str">
        <f t="shared" si="9"/>
        <v/>
      </c>
      <c r="Y62" s="78" t="str">
        <f t="shared" si="10"/>
        <v/>
      </c>
      <c r="Z62" s="21"/>
      <c r="AA62" s="138"/>
      <c r="AB62" s="21"/>
    </row>
    <row r="63" spans="1:28" x14ac:dyDescent="0.25">
      <c r="A63" s="21"/>
      <c r="B63" s="18"/>
      <c r="C63" s="85" t="str">
        <f>IF(B63="","",INDEX(Elements!B:B,MATCH(Design!B63,Elements!A:A,0)))</f>
        <v/>
      </c>
      <c r="D63" s="15"/>
      <c r="E63" s="85" t="str">
        <f>IFERROR(IF(D63="","",INDEX(Elements!J:J,MATCH(Design!D63,Elements!I:I,0))),SUBSTITUTE(D63," ",""))</f>
        <v/>
      </c>
      <c r="F63" s="15"/>
      <c r="G63" s="84" t="str">
        <f>IFERROR(IF(F63="","",INDEX(Elements!L:L,MATCH(Design!F63,Elements!K:K,0))),F63)</f>
        <v/>
      </c>
      <c r="H63" s="12"/>
      <c r="I63" s="14"/>
      <c r="J63" s="63" t="str">
        <f t="shared" ca="1" si="11"/>
        <v>columnHeaders</v>
      </c>
      <c r="K63" s="63">
        <f t="shared" ca="1" si="20"/>
        <v>0</v>
      </c>
      <c r="L63" s="63" t="str">
        <f ca="1">IF(K63="fontFamily","fontFamily",IF(K63="fontSize","fontSize",IFERROR(INDEX(Elements!M:M,MATCH(Design!J63&amp;"|"&amp;Design!K63,Elements!N:N,0)),"")))</f>
        <v/>
      </c>
      <c r="M63" s="65" t="str">
        <f ca="1">IF(OR(L63="",L63="fill"),"",MATCH(IF(L63="enumeration",J63&amp;"|"&amp;G63,Design!L63),Elements!N:N,0))</f>
        <v/>
      </c>
      <c r="N63" s="65" t="str">
        <f t="shared" si="7"/>
        <v/>
      </c>
      <c r="O63" s="65" t="str">
        <f ca="1">"Elements!"&amp;INDEX(Elements!H:H,MATCH(Design!J63,Elements!J:J,0))</f>
        <v>Elements!K36:K44</v>
      </c>
      <c r="P63" s="65" t="str">
        <f t="shared" ca="1" si="16"/>
        <v>"</v>
      </c>
      <c r="Q63" s="75" t="str">
        <f t="shared" si="23"/>
        <v/>
      </c>
      <c r="R63" s="5" t="str">
        <f t="shared" si="24"/>
        <v/>
      </c>
      <c r="S63" s="5" t="str">
        <f t="shared" si="21"/>
        <v/>
      </c>
      <c r="T63" s="76" t="str">
        <f t="shared" ref="T63:T126" si="25">R63&amp;S63&amp;Q63</f>
        <v/>
      </c>
      <c r="U63" s="5">
        <f t="shared" si="15"/>
        <v>0</v>
      </c>
      <c r="V63" s="5">
        <f t="shared" si="15"/>
        <v>0</v>
      </c>
      <c r="W63" s="77" t="str">
        <f t="shared" si="8"/>
        <v/>
      </c>
      <c r="X63" s="65" t="str">
        <f t="shared" si="9"/>
        <v/>
      </c>
      <c r="Y63" s="78" t="str">
        <f t="shared" si="10"/>
        <v/>
      </c>
      <c r="Z63" s="21"/>
      <c r="AA63" s="138"/>
      <c r="AB63" s="21"/>
    </row>
    <row r="64" spans="1:28" x14ac:dyDescent="0.25">
      <c r="A64" s="21"/>
      <c r="B64" s="18"/>
      <c r="C64" s="85" t="str">
        <f>IF(B64="","",INDEX(Elements!B:B,MATCH(Design!B64,Elements!A:A,0)))</f>
        <v/>
      </c>
      <c r="D64" s="13"/>
      <c r="E64" s="85" t="str">
        <f>IFERROR(IF(D64="","",INDEX(Elements!J:J,MATCH(Design!D64,Elements!I:I,0))),SUBSTITUTE(D64," ",""))</f>
        <v/>
      </c>
      <c r="F64" s="13"/>
      <c r="G64" s="84" t="str">
        <f>IFERROR(IF(F64="","",INDEX(Elements!L:L,MATCH(Design!F64,Elements!K:K,0))),F64)</f>
        <v/>
      </c>
      <c r="H64" s="113"/>
      <c r="I64" s="14"/>
      <c r="J64" s="63" t="str">
        <f t="shared" ca="1" si="11"/>
        <v>columnHeaders</v>
      </c>
      <c r="K64" s="63">
        <f t="shared" ca="1" si="20"/>
        <v>0</v>
      </c>
      <c r="L64" s="63" t="str">
        <f ca="1">IF(K64="fontFamily","fontFamily",IF(K64="fontSize","fontSize",IFERROR(INDEX(Elements!M:M,MATCH(Design!J64&amp;"|"&amp;Design!K64,Elements!N:N,0)),"")))</f>
        <v/>
      </c>
      <c r="M64" s="65" t="str">
        <f ca="1">IF(OR(L64="",L64="fill"),"",MATCH(IF(L64="enumeration",J64&amp;"|"&amp;G64,Design!L64),Elements!N:N,0))</f>
        <v/>
      </c>
      <c r="N64" s="65" t="str">
        <f t="shared" si="7"/>
        <v/>
      </c>
      <c r="O64" s="65" t="str">
        <f ca="1">"Elements!"&amp;INDEX(Elements!H:H,MATCH(Design!J64,Elements!J:J,0))</f>
        <v>Elements!K36:K44</v>
      </c>
      <c r="P64" s="65" t="str">
        <f t="shared" ca="1" si="16"/>
        <v>"</v>
      </c>
      <c r="Q64" s="75" t="str">
        <f t="shared" si="23"/>
        <v/>
      </c>
      <c r="R64" s="5" t="str">
        <f t="shared" si="24"/>
        <v/>
      </c>
      <c r="S64" s="5" t="str">
        <f t="shared" si="21"/>
        <v/>
      </c>
      <c r="T64" s="76" t="str">
        <f t="shared" si="25"/>
        <v/>
      </c>
      <c r="U64" s="5">
        <f t="shared" si="15"/>
        <v>0</v>
      </c>
      <c r="V64" s="5">
        <f t="shared" si="15"/>
        <v>0</v>
      </c>
      <c r="W64" s="77" t="str">
        <f t="shared" si="8"/>
        <v/>
      </c>
      <c r="X64" s="65" t="str">
        <f t="shared" si="9"/>
        <v/>
      </c>
      <c r="Y64" s="78" t="str">
        <f t="shared" si="10"/>
        <v/>
      </c>
      <c r="Z64" s="21"/>
      <c r="AA64" s="138"/>
      <c r="AB64" s="21"/>
    </row>
    <row r="65" spans="1:28" x14ac:dyDescent="0.25">
      <c r="A65" s="21"/>
      <c r="B65" s="18"/>
      <c r="C65" s="85" t="str">
        <f>IF(B65="","",INDEX(Elements!B:B,MATCH(Design!B65,Elements!A:A,0)))</f>
        <v/>
      </c>
      <c r="D65" s="15"/>
      <c r="E65" s="85" t="str">
        <f>IFERROR(IF(D65="","",INDEX(Elements!J:J,MATCH(Design!D65,Elements!I:I,0))),SUBSTITUTE(D65," ",""))</f>
        <v/>
      </c>
      <c r="F65" s="15"/>
      <c r="G65" s="84" t="str">
        <f>IFERROR(IF(F65="","",INDEX(Elements!L:L,MATCH(Design!F65,Elements!K:K,0))),F65)</f>
        <v/>
      </c>
      <c r="H65" s="114"/>
      <c r="I65" s="14"/>
      <c r="J65" s="63" t="str">
        <f t="shared" ca="1" si="11"/>
        <v>columnHeaders</v>
      </c>
      <c r="K65" s="63">
        <f t="shared" ca="1" si="20"/>
        <v>0</v>
      </c>
      <c r="L65" s="63" t="str">
        <f ca="1">IF(K65="fontFamily","fontFamily",IF(K65="fontSize","fontSize",IFERROR(INDEX(Elements!M:M,MATCH(Design!J65&amp;"|"&amp;Design!K65,Elements!N:N,0)),"")))</f>
        <v/>
      </c>
      <c r="M65" s="65" t="str">
        <f ca="1">IF(OR(L65="",L65="fill"),"",MATCH(IF(L65="enumeration",J65&amp;"|"&amp;G65,Design!L65),Elements!N:N,0))</f>
        <v/>
      </c>
      <c r="N65" s="65" t="str">
        <f t="shared" si="7"/>
        <v/>
      </c>
      <c r="O65" s="65" t="str">
        <f ca="1">"Elements!"&amp;INDEX(Elements!H:H,MATCH(Design!J65,Elements!J:J,0))</f>
        <v>Elements!K36:K44</v>
      </c>
      <c r="P65" s="65" t="str">
        <f t="shared" ca="1" si="16"/>
        <v>"</v>
      </c>
      <c r="Q65" s="75" t="str">
        <f t="shared" si="23"/>
        <v/>
      </c>
      <c r="R65" s="5" t="str">
        <f t="shared" si="24"/>
        <v/>
      </c>
      <c r="S65" s="5" t="str">
        <f t="shared" si="21"/>
        <v/>
      </c>
      <c r="T65" s="76" t="str">
        <f t="shared" si="25"/>
        <v/>
      </c>
      <c r="U65" s="5">
        <f t="shared" si="15"/>
        <v>0</v>
      </c>
      <c r="V65" s="5">
        <f t="shared" si="15"/>
        <v>0</v>
      </c>
      <c r="W65" s="77" t="str">
        <f t="shared" si="8"/>
        <v/>
      </c>
      <c r="X65" s="65" t="str">
        <f t="shared" si="9"/>
        <v/>
      </c>
      <c r="Y65" s="78" t="str">
        <f t="shared" si="10"/>
        <v/>
      </c>
      <c r="Z65" s="21"/>
      <c r="AA65" s="138"/>
      <c r="AB65" s="21"/>
    </row>
    <row r="66" spans="1:28" x14ac:dyDescent="0.25">
      <c r="A66" s="21"/>
      <c r="B66" s="18"/>
      <c r="C66" s="85" t="str">
        <f>IF(B66="","",INDEX(Elements!B:B,MATCH(Design!B66,Elements!A:A,0)))</f>
        <v/>
      </c>
      <c r="D66" s="13"/>
      <c r="E66" s="85" t="str">
        <f>IFERROR(IF(D66="","",INDEX(Elements!J:J,MATCH(Design!D66,Elements!I:I,0))),SUBSTITUTE(D66," ",""))</f>
        <v/>
      </c>
      <c r="F66" s="13"/>
      <c r="G66" s="84" t="str">
        <f>IFERROR(IF(F66="","",INDEX(Elements!L:L,MATCH(Design!F66,Elements!K:K,0))),F66)</f>
        <v/>
      </c>
      <c r="H66" s="14"/>
      <c r="I66" s="14"/>
      <c r="J66" s="63" t="str">
        <f t="shared" ca="1" si="11"/>
        <v>columnHeaders</v>
      </c>
      <c r="K66" s="63">
        <f t="shared" ca="1" si="20"/>
        <v>0</v>
      </c>
      <c r="L66" s="63" t="str">
        <f ca="1">IF(K66="fontFamily","fontFamily",IF(K66="fontSize","fontSize",IFERROR(INDEX(Elements!M:M,MATCH(Design!J66&amp;"|"&amp;Design!K66,Elements!N:N,0)),"")))</f>
        <v/>
      </c>
      <c r="M66" s="65" t="str">
        <f ca="1">IF(OR(L66="",L66="fill"),"",MATCH(IF(L66="enumeration",J66&amp;"|"&amp;G66,Design!L66),Elements!N:N,0))</f>
        <v/>
      </c>
      <c r="N66" s="65" t="str">
        <f t="shared" si="7"/>
        <v/>
      </c>
      <c r="O66" s="65" t="str">
        <f ca="1">"Elements!"&amp;INDEX(Elements!H:H,MATCH(Design!J66,Elements!J:J,0))</f>
        <v>Elements!K36:K44</v>
      </c>
      <c r="P66" s="65" t="str">
        <f t="shared" ca="1" si="16"/>
        <v>"</v>
      </c>
      <c r="Q66" s="75" t="str">
        <f t="shared" si="23"/>
        <v/>
      </c>
      <c r="R66" s="5" t="str">
        <f t="shared" si="24"/>
        <v/>
      </c>
      <c r="S66" s="5" t="str">
        <f t="shared" si="21"/>
        <v/>
      </c>
      <c r="T66" s="76" t="str">
        <f t="shared" si="25"/>
        <v/>
      </c>
      <c r="U66" s="5">
        <f t="shared" si="15"/>
        <v>0</v>
      </c>
      <c r="V66" s="5">
        <f t="shared" si="15"/>
        <v>0</v>
      </c>
      <c r="W66" s="77" t="str">
        <f t="shared" si="8"/>
        <v/>
      </c>
      <c r="X66" s="65" t="str">
        <f t="shared" si="9"/>
        <v/>
      </c>
      <c r="Y66" s="78" t="str">
        <f t="shared" si="10"/>
        <v/>
      </c>
      <c r="Z66" s="21"/>
      <c r="AA66" s="138"/>
      <c r="AB66" s="21"/>
    </row>
    <row r="67" spans="1:28" x14ac:dyDescent="0.25">
      <c r="A67" s="21"/>
      <c r="B67" s="18"/>
      <c r="C67" s="85" t="str">
        <f>IF(B67="","",INDEX(Elements!B:B,MATCH(Design!B67,Elements!A:A,0)))</f>
        <v/>
      </c>
      <c r="D67" s="15"/>
      <c r="E67" s="85" t="str">
        <f>IFERROR(IF(D67="","",INDEX(Elements!J:J,MATCH(Design!D67,Elements!I:I,0))),SUBSTITUTE(D67," ",""))</f>
        <v/>
      </c>
      <c r="F67" s="15"/>
      <c r="G67" s="84" t="str">
        <f>IFERROR(IF(F67="","",INDEX(Elements!L:L,MATCH(Design!F67,Elements!K:K,0))),F67)</f>
        <v/>
      </c>
      <c r="H67" s="12"/>
      <c r="I67" s="14"/>
      <c r="J67" s="63" t="str">
        <f t="shared" ca="1" si="11"/>
        <v>columnHeaders</v>
      </c>
      <c r="K67" s="63">
        <f t="shared" ca="1" si="20"/>
        <v>0</v>
      </c>
      <c r="L67" s="63" t="str">
        <f ca="1">IF(K67="fontFamily","fontFamily",IF(K67="fontSize","fontSize",IFERROR(INDEX(Elements!M:M,MATCH(Design!J67&amp;"|"&amp;Design!K67,Elements!N:N,0)),"")))</f>
        <v/>
      </c>
      <c r="M67" s="65" t="str">
        <f ca="1">IF(OR(L67="",L67="fill"),"",MATCH(IF(L67="enumeration",J67&amp;"|"&amp;G67,Design!L67),Elements!N:N,0))</f>
        <v/>
      </c>
      <c r="N67" s="65" t="str">
        <f t="shared" si="7"/>
        <v/>
      </c>
      <c r="O67" s="65" t="str">
        <f ca="1">"Elements!"&amp;INDEX(Elements!H:H,MATCH(Design!J67,Elements!J:J,0))</f>
        <v>Elements!K36:K44</v>
      </c>
      <c r="P67" s="65" t="str">
        <f t="shared" ca="1" si="16"/>
        <v>"</v>
      </c>
      <c r="Q67" s="75" t="str">
        <f t="shared" si="23"/>
        <v/>
      </c>
      <c r="R67" s="5" t="str">
        <f t="shared" si="24"/>
        <v/>
      </c>
      <c r="S67" s="5" t="str">
        <f t="shared" si="21"/>
        <v/>
      </c>
      <c r="T67" s="76" t="str">
        <f t="shared" si="25"/>
        <v/>
      </c>
      <c r="U67" s="5">
        <f t="shared" si="15"/>
        <v>0</v>
      </c>
      <c r="V67" s="5">
        <f t="shared" si="15"/>
        <v>0</v>
      </c>
      <c r="W67" s="77" t="str">
        <f t="shared" si="8"/>
        <v/>
      </c>
      <c r="X67" s="65" t="str">
        <f t="shared" si="9"/>
        <v/>
      </c>
      <c r="Y67" s="78" t="str">
        <f t="shared" si="10"/>
        <v/>
      </c>
      <c r="Z67" s="21"/>
      <c r="AA67" s="138"/>
      <c r="AB67" s="21"/>
    </row>
    <row r="68" spans="1:28" x14ac:dyDescent="0.25">
      <c r="A68" s="21"/>
      <c r="B68" s="18"/>
      <c r="C68" s="85" t="str">
        <f>IF(B68="","",INDEX(Elements!B:B,MATCH(Design!B68,Elements!A:A,0)))</f>
        <v/>
      </c>
      <c r="D68" s="13"/>
      <c r="E68" s="85" t="str">
        <f>IFERROR(IF(D68="","",INDEX(Elements!J:J,MATCH(Design!D68,Elements!I:I,0))),SUBSTITUTE(D68," ",""))</f>
        <v/>
      </c>
      <c r="F68" s="13"/>
      <c r="G68" s="84" t="str">
        <f>IFERROR(IF(F68="","",INDEX(Elements!L:L,MATCH(Design!F68,Elements!K:K,0))),F68)</f>
        <v/>
      </c>
      <c r="H68" s="14"/>
      <c r="I68" s="14"/>
      <c r="J68" s="63" t="str">
        <f t="shared" ca="1" si="11"/>
        <v>columnHeaders</v>
      </c>
      <c r="K68" s="63">
        <f t="shared" ca="1" si="20"/>
        <v>0</v>
      </c>
      <c r="L68" s="63" t="str">
        <f ca="1">IF(K68="fontFamily","fontFamily",IF(K68="fontSize","fontSize",IFERROR(INDEX(Elements!M:M,MATCH(Design!J68&amp;"|"&amp;Design!K68,Elements!N:N,0)),"")))</f>
        <v/>
      </c>
      <c r="M68" s="65" t="str">
        <f ca="1">IF(OR(L68="",L68="fill"),"",MATCH(IF(L68="enumeration",J68&amp;"|"&amp;G68,Design!L68),Elements!N:N,0))</f>
        <v/>
      </c>
      <c r="N68" s="65" t="str">
        <f t="shared" si="7"/>
        <v/>
      </c>
      <c r="O68" s="65" t="str">
        <f ca="1">"Elements!"&amp;INDEX(Elements!H:H,MATCH(Design!J68,Elements!J:J,0))</f>
        <v>Elements!K36:K44</v>
      </c>
      <c r="P68" s="65" t="str">
        <f t="shared" ca="1" si="16"/>
        <v>"</v>
      </c>
      <c r="Q68" s="75" t="str">
        <f t="shared" si="23"/>
        <v/>
      </c>
      <c r="R68" s="5" t="str">
        <f t="shared" si="24"/>
        <v/>
      </c>
      <c r="S68" s="5" t="str">
        <f t="shared" si="21"/>
        <v/>
      </c>
      <c r="T68" s="76" t="str">
        <f t="shared" si="25"/>
        <v/>
      </c>
      <c r="U68" s="5">
        <f t="shared" si="15"/>
        <v>0</v>
      </c>
      <c r="V68" s="5">
        <f t="shared" si="15"/>
        <v>0</v>
      </c>
      <c r="W68" s="77" t="str">
        <f t="shared" si="8"/>
        <v/>
      </c>
      <c r="X68" s="65" t="str">
        <f t="shared" si="9"/>
        <v/>
      </c>
      <c r="Y68" s="78" t="str">
        <f t="shared" si="10"/>
        <v/>
      </c>
      <c r="Z68" s="21"/>
      <c r="AA68" s="138"/>
      <c r="AB68" s="21"/>
    </row>
    <row r="69" spans="1:28" x14ac:dyDescent="0.25">
      <c r="A69" s="21"/>
      <c r="B69" s="18"/>
      <c r="C69" s="85" t="str">
        <f>IF(B69="","",INDEX(Elements!B:B,MATCH(Design!B69,Elements!A:A,0)))</f>
        <v/>
      </c>
      <c r="D69" s="15"/>
      <c r="E69" s="85" t="str">
        <f>IFERROR(IF(D69="","",INDEX(Elements!J:J,MATCH(Design!D69,Elements!I:I,0))),SUBSTITUTE(D69," ",""))</f>
        <v/>
      </c>
      <c r="F69" s="15"/>
      <c r="G69" s="84" t="str">
        <f>IFERROR(IF(F69="","",INDEX(Elements!L:L,MATCH(Design!F69,Elements!K:K,0))),F69)</f>
        <v/>
      </c>
      <c r="H69" s="12"/>
      <c r="I69" s="14"/>
      <c r="J69" s="63" t="str">
        <f t="shared" ca="1" si="11"/>
        <v>columnHeaders</v>
      </c>
      <c r="K69" s="63">
        <f t="shared" ca="1" si="20"/>
        <v>0</v>
      </c>
      <c r="L69" s="63" t="str">
        <f ca="1">IF(K69="fontFamily","fontFamily",IF(K69="fontSize","fontSize",IFERROR(INDEX(Elements!M:M,MATCH(Design!J69&amp;"|"&amp;Design!K69,Elements!N:N,0)),"")))</f>
        <v/>
      </c>
      <c r="M69" s="65" t="str">
        <f ca="1">IF(OR(L69="",L69="fill"),"",MATCH(IF(L69="enumeration",J69&amp;"|"&amp;G69,Design!L69),Elements!N:N,0))</f>
        <v/>
      </c>
      <c r="N69" s="65" t="str">
        <f t="shared" si="7"/>
        <v/>
      </c>
      <c r="O69" s="65" t="str">
        <f ca="1">"Elements!"&amp;INDEX(Elements!H:H,MATCH(Design!J69,Elements!J:J,0))</f>
        <v>Elements!K36:K44</v>
      </c>
      <c r="P69" s="65" t="str">
        <f t="shared" ca="1" si="16"/>
        <v>"</v>
      </c>
      <c r="Q69" s="75" t="str">
        <f t="shared" si="23"/>
        <v/>
      </c>
      <c r="R69" s="5" t="str">
        <f t="shared" si="24"/>
        <v/>
      </c>
      <c r="S69" s="5" t="str">
        <f t="shared" si="21"/>
        <v/>
      </c>
      <c r="T69" s="76" t="str">
        <f t="shared" si="25"/>
        <v/>
      </c>
      <c r="U69" s="5">
        <f t="shared" si="15"/>
        <v>0</v>
      </c>
      <c r="V69" s="5">
        <f t="shared" si="15"/>
        <v>0</v>
      </c>
      <c r="W69" s="77" t="str">
        <f t="shared" si="8"/>
        <v/>
      </c>
      <c r="X69" s="65" t="str">
        <f t="shared" si="9"/>
        <v/>
      </c>
      <c r="Y69" s="78" t="str">
        <f t="shared" si="10"/>
        <v/>
      </c>
      <c r="Z69" s="21"/>
      <c r="AA69" s="138"/>
      <c r="AB69" s="21"/>
    </row>
    <row r="70" spans="1:28" x14ac:dyDescent="0.25">
      <c r="A70" s="21"/>
      <c r="B70" s="18"/>
      <c r="C70" s="85" t="str">
        <f>IF(B70="","",INDEX(Elements!B:B,MATCH(Design!B70,Elements!A:A,0)))</f>
        <v/>
      </c>
      <c r="D70" s="13"/>
      <c r="E70" s="85" t="str">
        <f>IFERROR(IF(D70="","",INDEX(Elements!J:J,MATCH(Design!D70,Elements!I:I,0))),SUBSTITUTE(D70," ",""))</f>
        <v/>
      </c>
      <c r="F70" s="13"/>
      <c r="G70" s="84" t="str">
        <f>IFERROR(IF(F70="","",INDEX(Elements!L:L,MATCH(Design!F70,Elements!K:K,0))),F70)</f>
        <v/>
      </c>
      <c r="H70" s="14"/>
      <c r="I70" s="14"/>
      <c r="J70" s="63" t="str">
        <f t="shared" ca="1" si="11"/>
        <v>columnHeaders</v>
      </c>
      <c r="K70" s="63">
        <f t="shared" ca="1" si="20"/>
        <v>0</v>
      </c>
      <c r="L70" s="63" t="str">
        <f ca="1">IF(K70="fontFamily","fontFamily",IF(K70="fontSize","fontSize",IFERROR(INDEX(Elements!M:M,MATCH(Design!J70&amp;"|"&amp;Design!K70,Elements!N:N,0)),"")))</f>
        <v/>
      </c>
      <c r="M70" s="65" t="str">
        <f ca="1">IF(OR(L70="",L70="fill"),"",MATCH(IF(L70="enumeration",J70&amp;"|"&amp;G70,Design!L70),Elements!N:N,0))</f>
        <v/>
      </c>
      <c r="N70" s="65" t="str">
        <f t="shared" si="7"/>
        <v/>
      </c>
      <c r="O70" s="65" t="str">
        <f ca="1">"Elements!"&amp;INDEX(Elements!H:H,MATCH(Design!J70,Elements!J:J,0))</f>
        <v>Elements!K36:K44</v>
      </c>
      <c r="P70" s="65" t="str">
        <f t="shared" ca="1" si="16"/>
        <v>"</v>
      </c>
      <c r="Q70" s="75" t="str">
        <f t="shared" si="23"/>
        <v/>
      </c>
      <c r="R70" s="5" t="str">
        <f t="shared" si="24"/>
        <v/>
      </c>
      <c r="S70" s="5" t="str">
        <f t="shared" si="21"/>
        <v/>
      </c>
      <c r="T70" s="76" t="str">
        <f t="shared" si="25"/>
        <v/>
      </c>
      <c r="U70" s="5">
        <f t="shared" si="15"/>
        <v>0</v>
      </c>
      <c r="V70" s="5">
        <f t="shared" si="15"/>
        <v>0</v>
      </c>
      <c r="W70" s="77" t="str">
        <f t="shared" si="8"/>
        <v/>
      </c>
      <c r="X70" s="65" t="str">
        <f t="shared" si="9"/>
        <v/>
      </c>
      <c r="Y70" s="78" t="str">
        <f t="shared" si="10"/>
        <v/>
      </c>
      <c r="Z70" s="21"/>
      <c r="AA70" s="138"/>
      <c r="AB70" s="21"/>
    </row>
    <row r="71" spans="1:28" x14ac:dyDescent="0.25">
      <c r="A71" s="21"/>
      <c r="B71" s="18"/>
      <c r="C71" s="85" t="str">
        <f>IF(B71="","",INDEX(Elements!B:B,MATCH(Design!B71,Elements!A:A,0)))</f>
        <v/>
      </c>
      <c r="D71" s="15"/>
      <c r="E71" s="85" t="str">
        <f>IFERROR(IF(D71="","",INDEX(Elements!J:J,MATCH(Design!D71,Elements!I:I,0))),SUBSTITUTE(D71," ",""))</f>
        <v/>
      </c>
      <c r="F71" s="15"/>
      <c r="G71" s="84" t="str">
        <f>IFERROR(IF(F71="","",INDEX(Elements!L:L,MATCH(Design!F71,Elements!K:K,0))),F71)</f>
        <v/>
      </c>
      <c r="H71" s="12"/>
      <c r="I71" s="14"/>
      <c r="J71" s="63" t="str">
        <f t="shared" ca="1" si="11"/>
        <v>columnHeaders</v>
      </c>
      <c r="K71" s="63">
        <f t="shared" ca="1" si="20"/>
        <v>0</v>
      </c>
      <c r="L71" s="63" t="str">
        <f ca="1">IF(K71="fontFamily","fontFamily",IF(K71="fontSize","fontSize",IFERROR(INDEX(Elements!M:M,MATCH(Design!J71&amp;"|"&amp;Design!K71,Elements!N:N,0)),"")))</f>
        <v/>
      </c>
      <c r="M71" s="65" t="str">
        <f ca="1">IF(OR(L71="",L71="fill"),"",MATCH(IF(L71="enumeration",J71&amp;"|"&amp;G71,Design!L71),Elements!N:N,0))</f>
        <v/>
      </c>
      <c r="N71" s="65" t="str">
        <f t="shared" si="7"/>
        <v/>
      </c>
      <c r="O71" s="65" t="str">
        <f ca="1">"Elements!"&amp;INDEX(Elements!H:H,MATCH(Design!J71,Elements!J:J,0))</f>
        <v>Elements!K36:K44</v>
      </c>
      <c r="P71" s="65" t="str">
        <f t="shared" ca="1" si="16"/>
        <v>"</v>
      </c>
      <c r="Q71" s="75" t="str">
        <f t="shared" si="23"/>
        <v/>
      </c>
      <c r="R71" s="5" t="str">
        <f t="shared" si="24"/>
        <v/>
      </c>
      <c r="S71" s="5" t="str">
        <f t="shared" si="21"/>
        <v/>
      </c>
      <c r="T71" s="76" t="str">
        <f t="shared" si="25"/>
        <v/>
      </c>
      <c r="U71" s="5">
        <f t="shared" si="15"/>
        <v>0</v>
      </c>
      <c r="V71" s="5">
        <f t="shared" si="15"/>
        <v>0</v>
      </c>
      <c r="W71" s="77" t="str">
        <f t="shared" si="8"/>
        <v/>
      </c>
      <c r="X71" s="65" t="str">
        <f t="shared" si="9"/>
        <v/>
      </c>
      <c r="Y71" s="78" t="str">
        <f t="shared" si="10"/>
        <v/>
      </c>
      <c r="Z71" s="21"/>
      <c r="AA71" s="138"/>
      <c r="AB71" s="21"/>
    </row>
    <row r="72" spans="1:28" x14ac:dyDescent="0.25">
      <c r="A72" s="21"/>
      <c r="B72" s="18"/>
      <c r="C72" s="85" t="str">
        <f>IF(B72="","",INDEX(Elements!B:B,MATCH(Design!B72,Elements!A:A,0)))</f>
        <v/>
      </c>
      <c r="D72" s="13"/>
      <c r="E72" s="85" t="str">
        <f>IFERROR(IF(D72="","",INDEX(Elements!J:J,MATCH(Design!D72,Elements!I:I,0))),SUBSTITUTE(D72," ",""))</f>
        <v/>
      </c>
      <c r="F72" s="13"/>
      <c r="G72" s="84" t="str">
        <f>IFERROR(IF(F72="","",INDEX(Elements!L:L,MATCH(Design!F72,Elements!K:K,0))),F72)</f>
        <v/>
      </c>
      <c r="H72" s="14"/>
      <c r="I72" s="14"/>
      <c r="J72" s="63" t="str">
        <f t="shared" ca="1" si="11"/>
        <v>columnHeaders</v>
      </c>
      <c r="K72" s="63">
        <f t="shared" ca="1" si="20"/>
        <v>0</v>
      </c>
      <c r="L72" s="63" t="str">
        <f ca="1">IF(K72="fontFamily","fontFamily",IF(K72="fontSize","fontSize",IFERROR(INDEX(Elements!M:M,MATCH(Design!J72&amp;"|"&amp;Design!K72,Elements!N:N,0)),"")))</f>
        <v/>
      </c>
      <c r="M72" s="65" t="str">
        <f ca="1">IF(OR(L72="",L72="fill"),"",MATCH(IF(L72="enumeration",J72&amp;"|"&amp;G72,Design!L72),Elements!N:N,0))</f>
        <v/>
      </c>
      <c r="N72" s="65" t="str">
        <f t="shared" si="7"/>
        <v/>
      </c>
      <c r="O72" s="65" t="str">
        <f ca="1">"Elements!"&amp;INDEX(Elements!H:H,MATCH(Design!J72,Elements!J:J,0))</f>
        <v>Elements!K36:K44</v>
      </c>
      <c r="P72" s="65" t="str">
        <f t="shared" ca="1" si="16"/>
        <v>"</v>
      </c>
      <c r="Q72" s="75" t="str">
        <f t="shared" si="23"/>
        <v/>
      </c>
      <c r="R72" s="5" t="str">
        <f t="shared" si="24"/>
        <v/>
      </c>
      <c r="S72" s="5" t="str">
        <f t="shared" si="21"/>
        <v/>
      </c>
      <c r="T72" s="76" t="str">
        <f t="shared" si="25"/>
        <v/>
      </c>
      <c r="U72" s="5">
        <f t="shared" si="15"/>
        <v>0</v>
      </c>
      <c r="V72" s="5">
        <f t="shared" si="15"/>
        <v>0</v>
      </c>
      <c r="W72" s="77" t="str">
        <f t="shared" si="8"/>
        <v/>
      </c>
      <c r="X72" s="65" t="str">
        <f t="shared" si="9"/>
        <v/>
      </c>
      <c r="Y72" s="78" t="str">
        <f t="shared" si="10"/>
        <v/>
      </c>
      <c r="Z72" s="21"/>
      <c r="AA72" s="138"/>
      <c r="AB72" s="21"/>
    </row>
    <row r="73" spans="1:28" x14ac:dyDescent="0.25">
      <c r="A73" s="21"/>
      <c r="B73" s="18"/>
      <c r="C73" s="85" t="str">
        <f>IF(B73="","",INDEX(Elements!B:B,MATCH(Design!B73,Elements!A:A,0)))</f>
        <v/>
      </c>
      <c r="D73" s="13"/>
      <c r="E73" s="85" t="str">
        <f>IFERROR(IF(D73="","",INDEX(Elements!J:J,MATCH(Design!D73,Elements!I:I,0))),SUBSTITUTE(D73," ",""))</f>
        <v/>
      </c>
      <c r="F73" s="13"/>
      <c r="G73" s="84" t="str">
        <f>IFERROR(IF(F73="","",INDEX(Elements!L:L,MATCH(Design!F73,Elements!K:K,0))),F73)</f>
        <v/>
      </c>
      <c r="H73" s="14"/>
      <c r="I73" s="14"/>
      <c r="J73" s="63" t="str">
        <f t="shared" ca="1" si="11"/>
        <v>columnHeaders</v>
      </c>
      <c r="K73" s="63">
        <f t="shared" ca="1" si="20"/>
        <v>0</v>
      </c>
      <c r="L73" s="63" t="str">
        <f ca="1">IF(K73="fontFamily","fontFamily",IF(K73="fontSize","fontSize",IFERROR(INDEX(Elements!M:M,MATCH(Design!J73&amp;"|"&amp;Design!K73,Elements!N:N,0)),"")))</f>
        <v/>
      </c>
      <c r="M73" s="65" t="str">
        <f ca="1">IF(OR(L73="",L73="fill"),"",MATCH(IF(L73="enumeration",J73&amp;"|"&amp;G73,Design!L73),Elements!N:N,0))</f>
        <v/>
      </c>
      <c r="N73" s="65" t="str">
        <f t="shared" si="7"/>
        <v/>
      </c>
      <c r="O73" s="65" t="str">
        <f ca="1">"Elements!"&amp;INDEX(Elements!H:H,MATCH(Design!J73,Elements!J:J,0))</f>
        <v>Elements!K36:K44</v>
      </c>
      <c r="P73" s="65" t="str">
        <f t="shared" ca="1" si="16"/>
        <v>"</v>
      </c>
      <c r="Q73" s="75" t="str">
        <f t="shared" si="23"/>
        <v/>
      </c>
      <c r="R73" s="5" t="str">
        <f t="shared" si="24"/>
        <v/>
      </c>
      <c r="S73" s="5" t="str">
        <f t="shared" si="21"/>
        <v/>
      </c>
      <c r="T73" s="76" t="str">
        <f t="shared" si="25"/>
        <v/>
      </c>
      <c r="U73" s="5">
        <f t="shared" si="15"/>
        <v>0</v>
      </c>
      <c r="V73" s="5">
        <f t="shared" si="15"/>
        <v>0</v>
      </c>
      <c r="W73" s="77" t="str">
        <f t="shared" si="8"/>
        <v/>
      </c>
      <c r="X73" s="65" t="str">
        <f t="shared" si="9"/>
        <v/>
      </c>
      <c r="Y73" s="78" t="str">
        <f t="shared" si="10"/>
        <v/>
      </c>
      <c r="Z73" s="21"/>
      <c r="AA73" s="138"/>
      <c r="AB73" s="21"/>
    </row>
    <row r="74" spans="1:28" x14ac:dyDescent="0.25">
      <c r="A74" s="21"/>
      <c r="B74" s="18"/>
      <c r="C74" s="85" t="str">
        <f>IF(B74="","",INDEX(Elements!B:B,MATCH(Design!B74,Elements!A:A,0)))</f>
        <v/>
      </c>
      <c r="D74" s="15"/>
      <c r="E74" s="85" t="str">
        <f>IFERROR(IF(D74="","",INDEX(Elements!J:J,MATCH(Design!D74,Elements!I:I,0))),SUBSTITUTE(D74," ",""))</f>
        <v/>
      </c>
      <c r="F74" s="15"/>
      <c r="G74" s="84" t="str">
        <f>IFERROR(IF(F74="","",INDEX(Elements!L:L,MATCH(Design!F74,Elements!K:K,0))),F74)</f>
        <v/>
      </c>
      <c r="H74" s="12"/>
      <c r="I74" s="14"/>
      <c r="J74" s="63" t="str">
        <f t="shared" ca="1" si="11"/>
        <v>columnHeaders</v>
      </c>
      <c r="K74" s="63">
        <f t="shared" ca="1" si="20"/>
        <v>0</v>
      </c>
      <c r="L74" s="63" t="str">
        <f ca="1">IF(K74="fontFamily","fontFamily",IF(K74="fontSize","fontSize",IFERROR(INDEX(Elements!M:M,MATCH(Design!J74&amp;"|"&amp;Design!K74,Elements!N:N,0)),"")))</f>
        <v/>
      </c>
      <c r="M74" s="65" t="str">
        <f ca="1">IF(OR(L74="",L74="fill"),"",MATCH(IF(L74="enumeration",J74&amp;"|"&amp;G74,Design!L74),Elements!N:N,0))</f>
        <v/>
      </c>
      <c r="N74" s="65" t="str">
        <f t="shared" si="7"/>
        <v/>
      </c>
      <c r="O74" s="65" t="str">
        <f ca="1">"Elements!"&amp;INDEX(Elements!H:H,MATCH(Design!J74,Elements!J:J,0))</f>
        <v>Elements!K36:K44</v>
      </c>
      <c r="P74" s="65" t="str">
        <f t="shared" ca="1" si="16"/>
        <v>"</v>
      </c>
      <c r="Q74" s="75" t="str">
        <f t="shared" si="23"/>
        <v/>
      </c>
      <c r="R74" s="5" t="str">
        <f t="shared" si="24"/>
        <v/>
      </c>
      <c r="S74" s="5" t="str">
        <f t="shared" si="21"/>
        <v/>
      </c>
      <c r="T74" s="76" t="str">
        <f t="shared" si="25"/>
        <v/>
      </c>
      <c r="U74" s="5">
        <f t="shared" si="15"/>
        <v>0</v>
      </c>
      <c r="V74" s="5">
        <f t="shared" si="15"/>
        <v>0</v>
      </c>
      <c r="W74" s="77" t="str">
        <f t="shared" si="8"/>
        <v/>
      </c>
      <c r="X74" s="65" t="str">
        <f t="shared" si="9"/>
        <v/>
      </c>
      <c r="Y74" s="78" t="str">
        <f t="shared" si="10"/>
        <v/>
      </c>
      <c r="Z74" s="21"/>
      <c r="AA74" s="138"/>
      <c r="AB74" s="21"/>
    </row>
    <row r="75" spans="1:28" x14ac:dyDescent="0.25">
      <c r="A75" s="21"/>
      <c r="B75" s="18"/>
      <c r="C75" s="85" t="str">
        <f>IF(B75="","",INDEX(Elements!B:B,MATCH(Design!B75,Elements!A:A,0)))</f>
        <v/>
      </c>
      <c r="D75" s="13"/>
      <c r="E75" s="85" t="str">
        <f>IFERROR(IF(D75="","",INDEX(Elements!J:J,MATCH(Design!D75,Elements!I:I,0))),SUBSTITUTE(D75," ",""))</f>
        <v/>
      </c>
      <c r="F75" s="13"/>
      <c r="G75" s="84" t="str">
        <f>IFERROR(IF(F75="","",INDEX(Elements!L:L,MATCH(Design!F75,Elements!K:K,0))),F75)</f>
        <v/>
      </c>
      <c r="H75" s="14"/>
      <c r="I75" s="14"/>
      <c r="J75" s="63" t="str">
        <f t="shared" ca="1" si="11"/>
        <v>columnHeaders</v>
      </c>
      <c r="K75" s="63">
        <f t="shared" ca="1" si="20"/>
        <v>0</v>
      </c>
      <c r="L75" s="63" t="str">
        <f ca="1">IF(K75="fontFamily","fontFamily",IF(K75="fontSize","fontSize",IFERROR(INDEX(Elements!M:M,MATCH(Design!J75&amp;"|"&amp;Design!K75,Elements!N:N,0)),"")))</f>
        <v/>
      </c>
      <c r="M75" s="65" t="str">
        <f ca="1">IF(OR(L75="",L75="fill"),"",MATCH(IF(L75="enumeration",J75&amp;"|"&amp;G75,Design!L75),Elements!N:N,0))</f>
        <v/>
      </c>
      <c r="N75" s="65" t="str">
        <f t="shared" si="7"/>
        <v/>
      </c>
      <c r="O75" s="65" t="str">
        <f ca="1">"Elements!"&amp;INDEX(Elements!H:H,MATCH(Design!J75,Elements!J:J,0))</f>
        <v>Elements!K36:K44</v>
      </c>
      <c r="P75" s="65" t="str">
        <f t="shared" ca="1" si="16"/>
        <v>"</v>
      </c>
      <c r="Q75" s="75" t="str">
        <f t="shared" si="23"/>
        <v/>
      </c>
      <c r="R75" s="5" t="str">
        <f t="shared" si="24"/>
        <v/>
      </c>
      <c r="S75" s="5" t="str">
        <f t="shared" si="21"/>
        <v/>
      </c>
      <c r="T75" s="76" t="str">
        <f t="shared" si="25"/>
        <v/>
      </c>
      <c r="U75" s="5">
        <f t="shared" si="15"/>
        <v>0</v>
      </c>
      <c r="V75" s="5">
        <f t="shared" si="15"/>
        <v>0</v>
      </c>
      <c r="W75" s="77" t="str">
        <f t="shared" si="8"/>
        <v/>
      </c>
      <c r="X75" s="65" t="str">
        <f t="shared" si="9"/>
        <v/>
      </c>
      <c r="Y75" s="78" t="str">
        <f t="shared" si="10"/>
        <v/>
      </c>
      <c r="Z75" s="21"/>
      <c r="AA75" s="138"/>
      <c r="AB75" s="21"/>
    </row>
    <row r="76" spans="1:28" x14ac:dyDescent="0.25">
      <c r="A76" s="21"/>
      <c r="B76" s="18"/>
      <c r="C76" s="85" t="str">
        <f>IF(B76="","",INDEX(Elements!B:B,MATCH(Design!B76,Elements!A:A,0)))</f>
        <v/>
      </c>
      <c r="D76" s="15"/>
      <c r="E76" s="85" t="str">
        <f>IFERROR(IF(D76="","",INDEX(Elements!J:J,MATCH(Design!D76,Elements!I:I,0))),SUBSTITUTE(D76," ",""))</f>
        <v/>
      </c>
      <c r="F76" s="15"/>
      <c r="G76" s="84" t="str">
        <f>IFERROR(IF(F76="","",INDEX(Elements!L:L,MATCH(Design!F76,Elements!K:K,0))),F76)</f>
        <v/>
      </c>
      <c r="H76" s="12"/>
      <c r="I76" s="14"/>
      <c r="J76" s="63" t="str">
        <f t="shared" ca="1" si="11"/>
        <v>columnHeaders</v>
      </c>
      <c r="K76" s="63">
        <f t="shared" ca="1" si="20"/>
        <v>0</v>
      </c>
      <c r="L76" s="63" t="str">
        <f ca="1">IF(K76="fontFamily","fontFamily",IF(K76="fontSize","fontSize",IFERROR(INDEX(Elements!M:M,MATCH(Design!J76&amp;"|"&amp;Design!K76,Elements!N:N,0)),"")))</f>
        <v/>
      </c>
      <c r="M76" s="65" t="str">
        <f ca="1">IF(OR(L76="",L76="fill"),"",MATCH(IF(L76="enumeration",J76&amp;"|"&amp;G76,Design!L76),Elements!N:N,0))</f>
        <v/>
      </c>
      <c r="N76" s="65" t="str">
        <f t="shared" si="7"/>
        <v/>
      </c>
      <c r="O76" s="65" t="str">
        <f ca="1">"Elements!"&amp;INDEX(Elements!H:H,MATCH(Design!J76,Elements!J:J,0))</f>
        <v>Elements!K36:K44</v>
      </c>
      <c r="P76" s="65" t="str">
        <f t="shared" ca="1" si="16"/>
        <v>"</v>
      </c>
      <c r="Q76" s="75" t="str">
        <f t="shared" si="23"/>
        <v/>
      </c>
      <c r="R76" s="5" t="str">
        <f t="shared" si="24"/>
        <v/>
      </c>
      <c r="S76" s="5" t="str">
        <f t="shared" si="21"/>
        <v/>
      </c>
      <c r="T76" s="76" t="str">
        <f t="shared" si="25"/>
        <v/>
      </c>
      <c r="U76" s="5">
        <f t="shared" si="15"/>
        <v>0</v>
      </c>
      <c r="V76" s="5">
        <f t="shared" si="15"/>
        <v>0</v>
      </c>
      <c r="W76" s="77" t="str">
        <f t="shared" si="8"/>
        <v/>
      </c>
      <c r="X76" s="65" t="str">
        <f t="shared" si="9"/>
        <v/>
      </c>
      <c r="Y76" s="78" t="str">
        <f t="shared" si="10"/>
        <v/>
      </c>
      <c r="Z76" s="21"/>
      <c r="AA76" s="138"/>
      <c r="AB76" s="21"/>
    </row>
    <row r="77" spans="1:28" x14ac:dyDescent="0.25">
      <c r="A77" s="21"/>
      <c r="B77" s="18"/>
      <c r="C77" s="85" t="str">
        <f>IF(B77="","",INDEX(Elements!B:B,MATCH(Design!B77,Elements!A:A,0)))</f>
        <v/>
      </c>
      <c r="D77" s="13"/>
      <c r="E77" s="85" t="str">
        <f>IFERROR(IF(D77="","",INDEX(Elements!J:J,MATCH(Design!D77,Elements!I:I,0))),SUBSTITUTE(D77," ",""))</f>
        <v/>
      </c>
      <c r="F77" s="13"/>
      <c r="G77" s="84" t="str">
        <f>IFERROR(IF(F77="","",INDEX(Elements!L:L,MATCH(Design!F77,Elements!K:K,0))),F77)</f>
        <v/>
      </c>
      <c r="H77" s="14"/>
      <c r="I77" s="14"/>
      <c r="J77" s="63" t="str">
        <f t="shared" ca="1" si="11"/>
        <v>columnHeaders</v>
      </c>
      <c r="K77" s="63">
        <f t="shared" ca="1" si="20"/>
        <v>0</v>
      </c>
      <c r="L77" s="63" t="str">
        <f ca="1">IF(K77="fontFamily","fontFamily",IF(K77="fontSize","fontSize",IFERROR(INDEX(Elements!M:M,MATCH(Design!J77&amp;"|"&amp;Design!K77,Elements!N:N,0)),"")))</f>
        <v/>
      </c>
      <c r="M77" s="65" t="str">
        <f ca="1">IF(OR(L77="",L77="fill"),"",MATCH(IF(L77="enumeration",J77&amp;"|"&amp;G77,Design!L77),Elements!N:N,0))</f>
        <v/>
      </c>
      <c r="N77" s="65" t="str">
        <f t="shared" si="7"/>
        <v/>
      </c>
      <c r="O77" s="65" t="str">
        <f ca="1">"Elements!"&amp;INDEX(Elements!H:H,MATCH(Design!J77,Elements!J:J,0))</f>
        <v>Elements!K36:K44</v>
      </c>
      <c r="P77" s="65" t="str">
        <f t="shared" ca="1" si="16"/>
        <v>"</v>
      </c>
      <c r="Q77" s="75" t="str">
        <f t="shared" si="23"/>
        <v/>
      </c>
      <c r="R77" s="5" t="str">
        <f t="shared" si="24"/>
        <v/>
      </c>
      <c r="S77" s="5" t="str">
        <f t="shared" si="21"/>
        <v/>
      </c>
      <c r="T77" s="76" t="str">
        <f t="shared" si="25"/>
        <v/>
      </c>
      <c r="U77" s="5">
        <f t="shared" si="15"/>
        <v>0</v>
      </c>
      <c r="V77" s="5">
        <f t="shared" si="15"/>
        <v>0</v>
      </c>
      <c r="W77" s="77" t="str">
        <f t="shared" si="8"/>
        <v/>
      </c>
      <c r="X77" s="65" t="str">
        <f t="shared" si="9"/>
        <v/>
      </c>
      <c r="Y77" s="78" t="str">
        <f t="shared" si="10"/>
        <v/>
      </c>
      <c r="Z77" s="21"/>
      <c r="AA77" s="138"/>
      <c r="AB77" s="21"/>
    </row>
    <row r="78" spans="1:28" x14ac:dyDescent="0.25">
      <c r="A78" s="21"/>
      <c r="B78" s="18"/>
      <c r="C78" s="85" t="str">
        <f>IF(B78="","",INDEX(Elements!B:B,MATCH(Design!B78,Elements!A:A,0)))</f>
        <v/>
      </c>
      <c r="D78" s="15"/>
      <c r="E78" s="85" t="str">
        <f>IFERROR(IF(D78="","",INDEX(Elements!J:J,MATCH(Design!D78,Elements!I:I,0))),SUBSTITUTE(D78," ",""))</f>
        <v/>
      </c>
      <c r="F78" s="15"/>
      <c r="G78" s="84" t="str">
        <f>IFERROR(IF(F78="","",INDEX(Elements!L:L,MATCH(Design!F78,Elements!K:K,0))),F78)</f>
        <v/>
      </c>
      <c r="H78" s="12"/>
      <c r="I78" s="14"/>
      <c r="J78" s="63" t="str">
        <f t="shared" ca="1" si="11"/>
        <v>columnHeaders</v>
      </c>
      <c r="K78" s="63">
        <f t="shared" ca="1" si="20"/>
        <v>0</v>
      </c>
      <c r="L78" s="63" t="str">
        <f ca="1">IF(K78="fontFamily","fontFamily",IF(K78="fontSize","fontSize",IFERROR(INDEX(Elements!M:M,MATCH(Design!J78&amp;"|"&amp;Design!K78,Elements!N:N,0)),"")))</f>
        <v/>
      </c>
      <c r="M78" s="65" t="str">
        <f ca="1">IF(OR(L78="",L78="fill"),"",MATCH(IF(L78="enumeration",J78&amp;"|"&amp;G78,Design!L78),Elements!N:N,0))</f>
        <v/>
      </c>
      <c r="N78" s="65" t="str">
        <f t="shared" si="7"/>
        <v/>
      </c>
      <c r="O78" s="65" t="str">
        <f ca="1">"Elements!"&amp;INDEX(Elements!H:H,MATCH(Design!J78,Elements!J:J,0))</f>
        <v>Elements!K36:K44</v>
      </c>
      <c r="P78" s="65" t="str">
        <f t="shared" ca="1" si="16"/>
        <v>"</v>
      </c>
      <c r="Q78" s="75" t="str">
        <f t="shared" si="23"/>
        <v/>
      </c>
      <c r="R78" s="5" t="str">
        <f t="shared" si="24"/>
        <v/>
      </c>
      <c r="S78" s="5" t="str">
        <f t="shared" si="21"/>
        <v/>
      </c>
      <c r="T78" s="76" t="str">
        <f t="shared" si="25"/>
        <v/>
      </c>
      <c r="U78" s="5">
        <f t="shared" si="15"/>
        <v>0</v>
      </c>
      <c r="V78" s="5">
        <f t="shared" si="15"/>
        <v>0</v>
      </c>
      <c r="W78" s="77" t="str">
        <f t="shared" si="8"/>
        <v/>
      </c>
      <c r="X78" s="65" t="str">
        <f t="shared" si="9"/>
        <v/>
      </c>
      <c r="Y78" s="78" t="str">
        <f t="shared" si="10"/>
        <v/>
      </c>
      <c r="Z78" s="21"/>
      <c r="AA78" s="138"/>
      <c r="AB78" s="21"/>
    </row>
    <row r="79" spans="1:28" x14ac:dyDescent="0.25">
      <c r="A79" s="21"/>
      <c r="B79" s="18"/>
      <c r="C79" s="85" t="str">
        <f>IF(B79="","",INDEX(Elements!B:B,MATCH(Design!B79,Elements!A:A,0)))</f>
        <v/>
      </c>
      <c r="D79" s="13"/>
      <c r="E79" s="85" t="str">
        <f>IFERROR(IF(D79="","",INDEX(Elements!J:J,MATCH(Design!D79,Elements!I:I,0))),SUBSTITUTE(D79," ",""))</f>
        <v/>
      </c>
      <c r="F79" s="13"/>
      <c r="G79" s="84" t="str">
        <f>IFERROR(IF(F79="","",INDEX(Elements!L:L,MATCH(Design!F79,Elements!K:K,0))),F79)</f>
        <v/>
      </c>
      <c r="H79" s="14"/>
      <c r="I79" s="14"/>
      <c r="J79" s="63" t="str">
        <f t="shared" ca="1" si="11"/>
        <v>columnHeaders</v>
      </c>
      <c r="K79" s="63">
        <f t="shared" ca="1" si="20"/>
        <v>0</v>
      </c>
      <c r="L79" s="63" t="str">
        <f ca="1">IF(K79="fontFamily","fontFamily",IF(K79="fontSize","fontSize",IFERROR(INDEX(Elements!M:M,MATCH(Design!J79&amp;"|"&amp;Design!K79,Elements!N:N,0)),"")))</f>
        <v/>
      </c>
      <c r="M79" s="65" t="str">
        <f ca="1">IF(OR(L79="",L79="fill"),"",MATCH(IF(L79="enumeration",J79&amp;"|"&amp;G79,Design!L79),Elements!N:N,0))</f>
        <v/>
      </c>
      <c r="N79" s="65" t="str">
        <f t="shared" si="7"/>
        <v/>
      </c>
      <c r="O79" s="65" t="str">
        <f ca="1">"Elements!"&amp;INDEX(Elements!H:H,MATCH(Design!J79,Elements!J:J,0))</f>
        <v>Elements!K36:K44</v>
      </c>
      <c r="P79" s="65" t="str">
        <f t="shared" ca="1" si="16"/>
        <v>"</v>
      </c>
      <c r="Q79" s="75" t="str">
        <f t="shared" si="23"/>
        <v/>
      </c>
      <c r="R79" s="5" t="str">
        <f t="shared" si="24"/>
        <v/>
      </c>
      <c r="S79" s="5" t="str">
        <f t="shared" si="21"/>
        <v/>
      </c>
      <c r="T79" s="76" t="str">
        <f t="shared" si="25"/>
        <v/>
      </c>
      <c r="U79" s="5">
        <f t="shared" si="15"/>
        <v>0</v>
      </c>
      <c r="V79" s="5">
        <f t="shared" si="15"/>
        <v>0</v>
      </c>
      <c r="W79" s="77" t="str">
        <f t="shared" si="8"/>
        <v/>
      </c>
      <c r="X79" s="65" t="str">
        <f t="shared" si="9"/>
        <v/>
      </c>
      <c r="Y79" s="78" t="str">
        <f t="shared" si="10"/>
        <v/>
      </c>
      <c r="Z79" s="21"/>
      <c r="AA79" s="138"/>
      <c r="AB79" s="21"/>
    </row>
    <row r="80" spans="1:28" x14ac:dyDescent="0.25">
      <c r="A80" s="21"/>
      <c r="B80" s="18"/>
      <c r="C80" s="85" t="str">
        <f>IF(B80="","",INDEX(Elements!B:B,MATCH(Design!B80,Elements!A:A,0)))</f>
        <v/>
      </c>
      <c r="D80" s="15"/>
      <c r="E80" s="85" t="str">
        <f>IFERROR(IF(D80="","",INDEX(Elements!J:J,MATCH(Design!D80,Elements!I:I,0))),SUBSTITUTE(D80," ",""))</f>
        <v/>
      </c>
      <c r="F80" s="15"/>
      <c r="G80" s="84" t="str">
        <f>IFERROR(IF(F80="","",INDEX(Elements!L:L,MATCH(Design!F80,Elements!K:K,0))),F80)</f>
        <v/>
      </c>
      <c r="H80" s="12"/>
      <c r="I80" s="14"/>
      <c r="J80" s="63" t="str">
        <f t="shared" ca="1" si="11"/>
        <v>columnHeaders</v>
      </c>
      <c r="K80" s="63">
        <f t="shared" ca="1" si="20"/>
        <v>0</v>
      </c>
      <c r="L80" s="63" t="str">
        <f ca="1">IF(K80="fontFamily","fontFamily",IF(K80="fontSize","fontSize",IFERROR(INDEX(Elements!M:M,MATCH(Design!J80&amp;"|"&amp;Design!K80,Elements!N:N,0)),"")))</f>
        <v/>
      </c>
      <c r="M80" s="65" t="str">
        <f ca="1">IF(OR(L80="",L80="fill"),"",MATCH(IF(L80="enumeration",J80&amp;"|"&amp;G80,Design!L80),Elements!N:N,0))</f>
        <v/>
      </c>
      <c r="N80" s="65" t="str">
        <f t="shared" si="7"/>
        <v/>
      </c>
      <c r="O80" s="65" t="str">
        <f ca="1">"Elements!"&amp;INDEX(Elements!H:H,MATCH(Design!J80,Elements!J:J,0))</f>
        <v>Elements!K36:K44</v>
      </c>
      <c r="P80" s="65" t="str">
        <f t="shared" ca="1" si="16"/>
        <v>"</v>
      </c>
      <c r="Q80" s="75" t="str">
        <f t="shared" si="23"/>
        <v/>
      </c>
      <c r="R80" s="5" t="str">
        <f t="shared" si="24"/>
        <v/>
      </c>
      <c r="S80" s="5" t="str">
        <f t="shared" si="21"/>
        <v/>
      </c>
      <c r="T80" s="76" t="str">
        <f t="shared" si="25"/>
        <v/>
      </c>
      <c r="U80" s="5">
        <f t="shared" si="15"/>
        <v>0</v>
      </c>
      <c r="V80" s="5">
        <f t="shared" si="15"/>
        <v>0</v>
      </c>
      <c r="W80" s="77" t="str">
        <f t="shared" si="8"/>
        <v/>
      </c>
      <c r="X80" s="65" t="str">
        <f t="shared" si="9"/>
        <v/>
      </c>
      <c r="Y80" s="78" t="str">
        <f t="shared" si="10"/>
        <v/>
      </c>
      <c r="Z80" s="21"/>
      <c r="AA80" s="138"/>
      <c r="AB80" s="21"/>
    </row>
    <row r="81" spans="1:28" x14ac:dyDescent="0.25">
      <c r="A81" s="21"/>
      <c r="B81" s="18"/>
      <c r="C81" s="85" t="str">
        <f>IF(B81="","",INDEX(Elements!B:B,MATCH(Design!B81,Elements!A:A,0)))</f>
        <v/>
      </c>
      <c r="D81" s="13"/>
      <c r="E81" s="85" t="str">
        <f>IFERROR(IF(D81="","",INDEX(Elements!J:J,MATCH(Design!D81,Elements!I:I,0))),SUBSTITUTE(D81," ",""))</f>
        <v/>
      </c>
      <c r="F81" s="13"/>
      <c r="G81" s="84" t="str">
        <f>IFERROR(IF(F81="","",INDEX(Elements!L:L,MATCH(Design!F81,Elements!K:K,0))),F81)</f>
        <v/>
      </c>
      <c r="H81" s="14"/>
      <c r="I81" s="14"/>
      <c r="J81" s="63" t="str">
        <f t="shared" ca="1" si="11"/>
        <v>columnHeaders</v>
      </c>
      <c r="K81" s="63">
        <f t="shared" ca="1" si="20"/>
        <v>0</v>
      </c>
      <c r="L81" s="63" t="str">
        <f ca="1">IF(K81="fontFamily","fontFamily",IF(K81="fontSize","fontSize",IFERROR(INDEX(Elements!M:M,MATCH(Design!J81&amp;"|"&amp;Design!K81,Elements!N:N,0)),"")))</f>
        <v/>
      </c>
      <c r="M81" s="65" t="str">
        <f ca="1">IF(OR(L81="",L81="fill"),"",MATCH(IF(L81="enumeration",J81&amp;"|"&amp;G81,Design!L81),Elements!N:N,0))</f>
        <v/>
      </c>
      <c r="N81" s="65" t="str">
        <f t="shared" ref="N81:N144" si="26">IF(G81="","",IFERROR(IF(L81="fill","Design!$C$8:$H$9",IF(M81="","Design!$A$1","Elements!O"&amp;M81&amp;":AZ"&amp;M81)),"Design!$A$1"))</f>
        <v/>
      </c>
      <c r="O81" s="65" t="str">
        <f ca="1">"Elements!"&amp;INDEX(Elements!H:H,MATCH(Design!J81,Elements!J:J,0))</f>
        <v>Elements!K36:K44</v>
      </c>
      <c r="P81" s="65" t="str">
        <f t="shared" ca="1" si="16"/>
        <v>"</v>
      </c>
      <c r="Q81" s="75" t="str">
        <f t="shared" si="23"/>
        <v/>
      </c>
      <c r="R81" s="5" t="str">
        <f t="shared" si="24"/>
        <v/>
      </c>
      <c r="S81" s="5" t="str">
        <f t="shared" si="21"/>
        <v/>
      </c>
      <c r="T81" s="76" t="str">
        <f t="shared" si="25"/>
        <v/>
      </c>
      <c r="U81" s="5">
        <f t="shared" si="15"/>
        <v>0</v>
      </c>
      <c r="V81" s="5">
        <f t="shared" si="15"/>
        <v>0</v>
      </c>
      <c r="W81" s="77" t="str">
        <f t="shared" si="8"/>
        <v/>
      </c>
      <c r="X81" s="65" t="str">
        <f t="shared" si="9"/>
        <v/>
      </c>
      <c r="Y81" s="78" t="str">
        <f t="shared" si="10"/>
        <v/>
      </c>
      <c r="Z81" s="21"/>
      <c r="AA81" s="138"/>
      <c r="AB81" s="21"/>
    </row>
    <row r="82" spans="1:28" x14ac:dyDescent="0.25">
      <c r="A82" s="21"/>
      <c r="B82" s="18"/>
      <c r="C82" s="85" t="str">
        <f>IF(B82="","",INDEX(Elements!B:B,MATCH(Design!B82,Elements!A:A,0)))</f>
        <v/>
      </c>
      <c r="D82" s="15"/>
      <c r="E82" s="85" t="str">
        <f>IFERROR(IF(D82="","",INDEX(Elements!J:J,MATCH(Design!D82,Elements!I:I,0))),SUBSTITUTE(D82," ",""))</f>
        <v/>
      </c>
      <c r="F82" s="15"/>
      <c r="G82" s="84" t="str">
        <f>IFERROR(IF(F82="","",INDEX(Elements!L:L,MATCH(Design!F82,Elements!K:K,0))),F82)</f>
        <v/>
      </c>
      <c r="H82" s="12"/>
      <c r="I82" s="19"/>
      <c r="J82" s="63" t="str">
        <f t="shared" ca="1" si="11"/>
        <v>columnHeaders</v>
      </c>
      <c r="K82" s="63">
        <f t="shared" ca="1" si="20"/>
        <v>0</v>
      </c>
      <c r="L82" s="63" t="str">
        <f ca="1">IF(K82="fontFamily","fontFamily",IF(K82="fontSize","fontSize",IFERROR(INDEX(Elements!M:M,MATCH(Design!J82&amp;"|"&amp;Design!K82,Elements!N:N,0)),"")))</f>
        <v/>
      </c>
      <c r="M82" s="65" t="str">
        <f ca="1">IF(OR(L82="",L82="fill"),"",MATCH(IF(L82="enumeration",J82&amp;"|"&amp;G82,Design!L82),Elements!N:N,0))</f>
        <v/>
      </c>
      <c r="N82" s="65" t="str">
        <f t="shared" si="26"/>
        <v/>
      </c>
      <c r="O82" s="65" t="str">
        <f ca="1">"Elements!"&amp;INDEX(Elements!H:H,MATCH(Design!J82,Elements!J:J,0))</f>
        <v>Elements!K36:K44</v>
      </c>
      <c r="P82" s="65" t="str">
        <f t="shared" ca="1" si="16"/>
        <v>"</v>
      </c>
      <c r="Q82" s="75" t="str">
        <f t="shared" si="23"/>
        <v/>
      </c>
      <c r="R82" s="5" t="str">
        <f t="shared" si="24"/>
        <v/>
      </c>
      <c r="S82" s="5" t="str">
        <f t="shared" si="21"/>
        <v/>
      </c>
      <c r="T82" s="76" t="str">
        <f t="shared" si="25"/>
        <v/>
      </c>
      <c r="U82" s="5">
        <f t="shared" si="15"/>
        <v>0</v>
      </c>
      <c r="V82" s="5">
        <f t="shared" si="15"/>
        <v>0</v>
      </c>
      <c r="W82" s="77" t="str">
        <f t="shared" ref="W82:W145" si="27">IF(LEFT(H82,1)&lt;&gt;"#","",HEX2DEC(RIGHT(H82,2)))</f>
        <v/>
      </c>
      <c r="X82" s="65" t="str">
        <f t="shared" ref="X82:X145" si="28">IF(LEFT(H82,1)&lt;&gt;"#","",HEX2DEC(MID(H82,4,2)))</f>
        <v/>
      </c>
      <c r="Y82" s="78" t="str">
        <f t="shared" ref="Y82:Y145" si="29">IF(LEFT(H82,1)&lt;&gt;"#","",HEX2DEC(MID(H82,2,2)))</f>
        <v/>
      </c>
      <c r="Z82" s="21"/>
      <c r="AA82" s="138"/>
      <c r="AB82" s="21"/>
    </row>
    <row r="83" spans="1:28" x14ac:dyDescent="0.25">
      <c r="A83" s="21"/>
      <c r="B83" s="18"/>
      <c r="C83" s="85" t="str">
        <f>IF(B83="","",INDEX(Elements!B:B,MATCH(Design!B83,Elements!A:A,0)))</f>
        <v/>
      </c>
      <c r="D83" s="13"/>
      <c r="E83" s="85" t="str">
        <f>IFERROR(IF(D83="","",INDEX(Elements!J:J,MATCH(Design!D83,Elements!I:I,0))),SUBSTITUTE(D83," ",""))</f>
        <v/>
      </c>
      <c r="F83" s="13"/>
      <c r="G83" s="84" t="str">
        <f>IFERROR(IF(F83="","",INDEX(Elements!L:L,MATCH(Design!F83,Elements!K:K,0))),F83)</f>
        <v/>
      </c>
      <c r="H83" s="14"/>
      <c r="I83" s="14"/>
      <c r="J83" s="63" t="str">
        <f t="shared" ca="1" si="11"/>
        <v>columnHeaders</v>
      </c>
      <c r="K83" s="63">
        <f t="shared" ca="1" si="20"/>
        <v>0</v>
      </c>
      <c r="L83" s="63" t="str">
        <f ca="1">IF(K83="fontFamily","fontFamily",IF(K83="fontSize","fontSize",IFERROR(INDEX(Elements!M:M,MATCH(Design!J83&amp;"|"&amp;Design!K83,Elements!N:N,0)),"")))</f>
        <v/>
      </c>
      <c r="M83" s="65" t="str">
        <f ca="1">IF(OR(L83="",L83="fill"),"",MATCH(IF(L83="enumeration",J83&amp;"|"&amp;G83,Design!L83),Elements!N:N,0))</f>
        <v/>
      </c>
      <c r="N83" s="65" t="str">
        <f t="shared" si="26"/>
        <v/>
      </c>
      <c r="O83" s="65" t="str">
        <f ca="1">"Elements!"&amp;INDEX(Elements!H:H,MATCH(Design!J83,Elements!J:J,0))</f>
        <v>Elements!K36:K44</v>
      </c>
      <c r="P83" s="65" t="str">
        <f t="shared" ca="1" si="16"/>
        <v>"</v>
      </c>
      <c r="Q83" s="75" t="str">
        <f t="shared" si="23"/>
        <v/>
      </c>
      <c r="R83" s="5" t="str">
        <f t="shared" si="24"/>
        <v/>
      </c>
      <c r="S83" s="5" t="str">
        <f t="shared" si="21"/>
        <v/>
      </c>
      <c r="T83" s="76" t="str">
        <f t="shared" si="25"/>
        <v/>
      </c>
      <c r="U83" s="5">
        <f t="shared" si="15"/>
        <v>0</v>
      </c>
      <c r="V83" s="5">
        <f t="shared" si="15"/>
        <v>0</v>
      </c>
      <c r="W83" s="77" t="str">
        <f t="shared" si="27"/>
        <v/>
      </c>
      <c r="X83" s="65" t="str">
        <f t="shared" si="28"/>
        <v/>
      </c>
      <c r="Y83" s="78" t="str">
        <f t="shared" si="29"/>
        <v/>
      </c>
      <c r="Z83" s="21"/>
      <c r="AA83" s="138"/>
      <c r="AB83" s="21"/>
    </row>
    <row r="84" spans="1:28" x14ac:dyDescent="0.25">
      <c r="A84" s="21"/>
      <c r="B84" s="18"/>
      <c r="C84" s="85" t="str">
        <f>IF(B84="","",INDEX(Elements!B:B,MATCH(Design!B84,Elements!A:A,0)))</f>
        <v/>
      </c>
      <c r="D84" s="15"/>
      <c r="E84" s="85" t="str">
        <f>IFERROR(IF(D84="","",INDEX(Elements!J:J,MATCH(Design!D84,Elements!I:I,0))),SUBSTITUTE(D84," ",""))</f>
        <v/>
      </c>
      <c r="F84" s="15"/>
      <c r="G84" s="84" t="str">
        <f>IFERROR(IF(F84="","",INDEX(Elements!L:L,MATCH(Design!F84,Elements!K:K,0))),F84)</f>
        <v/>
      </c>
      <c r="H84" s="12"/>
      <c r="I84" s="14"/>
      <c r="J84" s="63" t="str">
        <f t="shared" ca="1" si="11"/>
        <v>columnHeaders</v>
      </c>
      <c r="K84" s="63">
        <f t="shared" ca="1" si="20"/>
        <v>0</v>
      </c>
      <c r="L84" s="63" t="str">
        <f ca="1">IF(K84="fontFamily","fontFamily",IF(K84="fontSize","fontSize",IFERROR(INDEX(Elements!M:M,MATCH(Design!J84&amp;"|"&amp;Design!K84,Elements!N:N,0)),"")))</f>
        <v/>
      </c>
      <c r="M84" s="65" t="str">
        <f ca="1">IF(OR(L84="",L84="fill"),"",MATCH(IF(L84="enumeration",J84&amp;"|"&amp;G84,Design!L84),Elements!N:N,0))</f>
        <v/>
      </c>
      <c r="N84" s="65" t="str">
        <f t="shared" si="26"/>
        <v/>
      </c>
      <c r="O84" s="65" t="str">
        <f ca="1">"Elements!"&amp;INDEX(Elements!H:H,MATCH(Design!J84,Elements!J:J,0))</f>
        <v>Elements!K36:K44</v>
      </c>
      <c r="P84" s="65" t="str">
        <f t="shared" ca="1" si="16"/>
        <v>"</v>
      </c>
      <c r="Q84" s="75" t="str">
        <f t="shared" si="23"/>
        <v/>
      </c>
      <c r="R84" s="5" t="str">
        <f t="shared" si="24"/>
        <v/>
      </c>
      <c r="S84" s="5" t="str">
        <f t="shared" si="21"/>
        <v/>
      </c>
      <c r="T84" s="76" t="str">
        <f t="shared" si="25"/>
        <v/>
      </c>
      <c r="U84" s="5">
        <f t="shared" si="15"/>
        <v>0</v>
      </c>
      <c r="V84" s="5">
        <f t="shared" si="15"/>
        <v>0</v>
      </c>
      <c r="W84" s="77" t="str">
        <f t="shared" si="27"/>
        <v/>
      </c>
      <c r="X84" s="65" t="str">
        <f t="shared" si="28"/>
        <v/>
      </c>
      <c r="Y84" s="78" t="str">
        <f t="shared" si="29"/>
        <v/>
      </c>
      <c r="Z84" s="21"/>
      <c r="AA84" s="138"/>
      <c r="AB84" s="21"/>
    </row>
    <row r="85" spans="1:28" x14ac:dyDescent="0.25">
      <c r="A85" s="21"/>
      <c r="B85" s="18"/>
      <c r="C85" s="85" t="str">
        <f>IF(B85="","",INDEX(Elements!B:B,MATCH(Design!B85,Elements!A:A,0)))</f>
        <v/>
      </c>
      <c r="D85" s="13"/>
      <c r="E85" s="85" t="str">
        <f>IFERROR(IF(D85="","",INDEX(Elements!J:J,MATCH(Design!D85,Elements!I:I,0))),SUBSTITUTE(D85," ",""))</f>
        <v/>
      </c>
      <c r="F85" s="13"/>
      <c r="G85" s="84" t="str">
        <f>IFERROR(IF(F85="","",INDEX(Elements!L:L,MATCH(Design!F85,Elements!K:K,0))),F85)</f>
        <v/>
      </c>
      <c r="H85" s="14"/>
      <c r="I85" s="14"/>
      <c r="J85" s="63" t="str">
        <f t="shared" ca="1" si="11"/>
        <v>columnHeaders</v>
      </c>
      <c r="K85" s="63">
        <f t="shared" ca="1" si="20"/>
        <v>0</v>
      </c>
      <c r="L85" s="63" t="str">
        <f ca="1">IF(K85="fontFamily","fontFamily",IF(K85="fontSize","fontSize",IFERROR(INDEX(Elements!M:M,MATCH(Design!J85&amp;"|"&amp;Design!K85,Elements!N:N,0)),"")))</f>
        <v/>
      </c>
      <c r="M85" s="65" t="str">
        <f ca="1">IF(OR(L85="",L85="fill"),"",MATCH(IF(L85="enumeration",J85&amp;"|"&amp;G85,Design!L85),Elements!N:N,0))</f>
        <v/>
      </c>
      <c r="N85" s="65" t="str">
        <f t="shared" si="26"/>
        <v/>
      </c>
      <c r="O85" s="65" t="str">
        <f ca="1">"Elements!"&amp;INDEX(Elements!H:H,MATCH(Design!J85,Elements!J:J,0))</f>
        <v>Elements!K36:K44</v>
      </c>
      <c r="P85" s="65" t="str">
        <f t="shared" ca="1" si="16"/>
        <v>"</v>
      </c>
      <c r="Q85" s="75" t="str">
        <f t="shared" si="23"/>
        <v/>
      </c>
      <c r="R85" s="5" t="str">
        <f t="shared" si="24"/>
        <v/>
      </c>
      <c r="S85" s="5" t="str">
        <f t="shared" si="21"/>
        <v/>
      </c>
      <c r="T85" s="76" t="str">
        <f t="shared" si="25"/>
        <v/>
      </c>
      <c r="U85" s="5">
        <f t="shared" si="15"/>
        <v>0</v>
      </c>
      <c r="V85" s="5">
        <f t="shared" si="15"/>
        <v>0</v>
      </c>
      <c r="W85" s="77" t="str">
        <f t="shared" si="27"/>
        <v/>
      </c>
      <c r="X85" s="65" t="str">
        <f t="shared" si="28"/>
        <v/>
      </c>
      <c r="Y85" s="78" t="str">
        <f t="shared" si="29"/>
        <v/>
      </c>
      <c r="Z85" s="21"/>
      <c r="AA85" s="138"/>
      <c r="AB85" s="21"/>
    </row>
    <row r="86" spans="1:28" x14ac:dyDescent="0.25">
      <c r="A86" s="21"/>
      <c r="B86" s="18"/>
      <c r="C86" s="85" t="str">
        <f>IF(B86="","",INDEX(Elements!B:B,MATCH(Design!B86,Elements!A:A,0)))</f>
        <v/>
      </c>
      <c r="D86" s="15"/>
      <c r="E86" s="85" t="str">
        <f>IFERROR(IF(D86="","",INDEX(Elements!J:J,MATCH(Design!D86,Elements!I:I,0))),SUBSTITUTE(D86," ",""))</f>
        <v/>
      </c>
      <c r="F86" s="15"/>
      <c r="G86" s="84" t="str">
        <f>IFERROR(IF(F86="","",INDEX(Elements!L:L,MATCH(Design!F86,Elements!K:K,0))),F86)</f>
        <v/>
      </c>
      <c r="H86" s="12"/>
      <c r="I86" s="14"/>
      <c r="J86" s="63" t="str">
        <f t="shared" ca="1" si="11"/>
        <v>columnHeaders</v>
      </c>
      <c r="K86" s="63">
        <f t="shared" ca="1" si="20"/>
        <v>0</v>
      </c>
      <c r="L86" s="63" t="str">
        <f ca="1">IF(K86="fontFamily","fontFamily",IF(K86="fontSize","fontSize",IFERROR(INDEX(Elements!M:M,MATCH(Design!J86&amp;"|"&amp;Design!K86,Elements!N:N,0)),"")))</f>
        <v/>
      </c>
      <c r="M86" s="65" t="str">
        <f ca="1">IF(OR(L86="",L86="fill"),"",MATCH(IF(L86="enumeration",J86&amp;"|"&amp;G86,Design!L86),Elements!N:N,0))</f>
        <v/>
      </c>
      <c r="N86" s="65" t="str">
        <f t="shared" si="26"/>
        <v/>
      </c>
      <c r="O86" s="65" t="str">
        <f ca="1">"Elements!"&amp;INDEX(Elements!H:H,MATCH(Design!J86,Elements!J:J,0))</f>
        <v>Elements!K36:K44</v>
      </c>
      <c r="P86" s="65" t="str">
        <f t="shared" ca="1" si="16"/>
        <v>"</v>
      </c>
      <c r="Q86" s="75" t="str">
        <f t="shared" si="23"/>
        <v/>
      </c>
      <c r="R86" s="5" t="str">
        <f t="shared" si="24"/>
        <v/>
      </c>
      <c r="S86" s="5" t="str">
        <f t="shared" si="21"/>
        <v/>
      </c>
      <c r="T86" s="76" t="str">
        <f t="shared" si="25"/>
        <v/>
      </c>
      <c r="U86" s="5">
        <f t="shared" si="15"/>
        <v>0</v>
      </c>
      <c r="V86" s="5">
        <f t="shared" si="15"/>
        <v>0</v>
      </c>
      <c r="W86" s="77" t="str">
        <f t="shared" si="27"/>
        <v/>
      </c>
      <c r="X86" s="65" t="str">
        <f t="shared" si="28"/>
        <v/>
      </c>
      <c r="Y86" s="78" t="str">
        <f t="shared" si="29"/>
        <v/>
      </c>
      <c r="Z86" s="21"/>
      <c r="AA86" s="138"/>
      <c r="AB86" s="21"/>
    </row>
    <row r="87" spans="1:28" x14ac:dyDescent="0.25">
      <c r="A87" s="21"/>
      <c r="B87" s="18"/>
      <c r="C87" s="85" t="str">
        <f>IF(B87="","",INDEX(Elements!B:B,MATCH(Design!B87,Elements!A:A,0)))</f>
        <v/>
      </c>
      <c r="D87" s="13"/>
      <c r="E87" s="85" t="str">
        <f>IFERROR(IF(D87="","",INDEX(Elements!J:J,MATCH(Design!D87,Elements!I:I,0))),SUBSTITUTE(D87," ",""))</f>
        <v/>
      </c>
      <c r="F87" s="13"/>
      <c r="G87" s="84" t="str">
        <f>IFERROR(IF(F87="","",INDEX(Elements!L:L,MATCH(Design!F87,Elements!K:K,0))),F87)</f>
        <v/>
      </c>
      <c r="H87" s="14"/>
      <c r="I87" s="14"/>
      <c r="J87" s="63" t="str">
        <f t="shared" ref="J87:J150" ca="1" si="30">IF(E87="",INDIRECT("J"&amp;ROW()-1),E87)</f>
        <v>columnHeaders</v>
      </c>
      <c r="K87" s="63">
        <f t="shared" ca="1" si="20"/>
        <v>0</v>
      </c>
      <c r="L87" s="63" t="str">
        <f ca="1">IF(K87="fontFamily","fontFamily",IF(K87="fontSize","fontSize",IFERROR(INDEX(Elements!M:M,MATCH(Design!J87&amp;"|"&amp;Design!K87,Elements!N:N,0)),"")))</f>
        <v/>
      </c>
      <c r="M87" s="65" t="str">
        <f ca="1">IF(OR(L87="",L87="fill"),"",MATCH(IF(L87="enumeration",J87&amp;"|"&amp;G87,Design!L87),Elements!N:N,0))</f>
        <v/>
      </c>
      <c r="N87" s="65" t="str">
        <f t="shared" si="26"/>
        <v/>
      </c>
      <c r="O87" s="65" t="str">
        <f ca="1">"Elements!"&amp;INDEX(Elements!H:H,MATCH(Design!J87,Elements!J:J,0))</f>
        <v>Elements!K36:K44</v>
      </c>
      <c r="P87" s="65" t="str">
        <f t="shared" ca="1" si="16"/>
        <v>"</v>
      </c>
      <c r="Q87" s="75" t="str">
        <f t="shared" si="23"/>
        <v/>
      </c>
      <c r="R87" s="5" t="str">
        <f t="shared" si="24"/>
        <v/>
      </c>
      <c r="S87" s="5" t="str">
        <f t="shared" si="21"/>
        <v/>
      </c>
      <c r="T87" s="76" t="str">
        <f t="shared" si="25"/>
        <v/>
      </c>
      <c r="U87" s="5">
        <f t="shared" si="15"/>
        <v>0</v>
      </c>
      <c r="V87" s="5">
        <f t="shared" ref="V87:V150" si="31">SUMPRODUCT(LEN($T87)-LEN(SUBSTITUTE($T87,V$2,"")))</f>
        <v>0</v>
      </c>
      <c r="W87" s="77" t="str">
        <f t="shared" si="27"/>
        <v/>
      </c>
      <c r="X87" s="65" t="str">
        <f t="shared" si="28"/>
        <v/>
      </c>
      <c r="Y87" s="78" t="str">
        <f t="shared" si="29"/>
        <v/>
      </c>
      <c r="Z87" s="21"/>
      <c r="AA87" s="138"/>
      <c r="AB87" s="21"/>
    </row>
    <row r="88" spans="1:28" x14ac:dyDescent="0.25">
      <c r="A88" s="21"/>
      <c r="B88" s="18"/>
      <c r="C88" s="85" t="str">
        <f>IF(B88="","",INDEX(Elements!B:B,MATCH(Design!B88,Elements!A:A,0)))</f>
        <v/>
      </c>
      <c r="D88" s="15"/>
      <c r="E88" s="85" t="str">
        <f>IFERROR(IF(D88="","",INDEX(Elements!J:J,MATCH(Design!D88,Elements!I:I,0))),SUBSTITUTE(D88," ",""))</f>
        <v/>
      </c>
      <c r="F88" s="15"/>
      <c r="G88" s="84" t="str">
        <f>IFERROR(IF(F88="","",INDEX(Elements!L:L,MATCH(Design!F88,Elements!K:K,0))),F88)</f>
        <v/>
      </c>
      <c r="H88" s="12"/>
      <c r="I88" s="14"/>
      <c r="J88" s="63" t="str">
        <f t="shared" ca="1" si="30"/>
        <v>columnHeaders</v>
      </c>
      <c r="K88" s="63">
        <f t="shared" ca="1" si="20"/>
        <v>0</v>
      </c>
      <c r="L88" s="63" t="str">
        <f ca="1">IF(K88="fontFamily","fontFamily",IF(K88="fontSize","fontSize",IFERROR(INDEX(Elements!M:M,MATCH(Design!J88&amp;"|"&amp;Design!K88,Elements!N:N,0)),"")))</f>
        <v/>
      </c>
      <c r="M88" s="65" t="str">
        <f ca="1">IF(OR(L88="",L88="fill"),"",MATCH(IF(L88="enumeration",J88&amp;"|"&amp;G88,Design!L88),Elements!N:N,0))</f>
        <v/>
      </c>
      <c r="N88" s="65" t="str">
        <f t="shared" si="26"/>
        <v/>
      </c>
      <c r="O88" s="65" t="str">
        <f ca="1">"Elements!"&amp;INDEX(Elements!H:H,MATCH(Design!J88,Elements!J:J,0))</f>
        <v>Elements!K36:K44</v>
      </c>
      <c r="P88" s="65" t="str">
        <f t="shared" ca="1" si="16"/>
        <v>"</v>
      </c>
      <c r="Q88" s="75" t="str">
        <f t="shared" si="23"/>
        <v/>
      </c>
      <c r="R88" s="5" t="str">
        <f t="shared" si="24"/>
        <v/>
      </c>
      <c r="S88" s="5" t="str">
        <f t="shared" si="21"/>
        <v/>
      </c>
      <c r="T88" s="76" t="str">
        <f t="shared" si="25"/>
        <v/>
      </c>
      <c r="U88" s="5">
        <f t="shared" ref="U88:V151" si="32">SUMPRODUCT(LEN($T88)-LEN(SUBSTITUTE($T88,U$2,"")))</f>
        <v>0</v>
      </c>
      <c r="V88" s="5">
        <f t="shared" si="31"/>
        <v>0</v>
      </c>
      <c r="W88" s="77" t="str">
        <f t="shared" si="27"/>
        <v/>
      </c>
      <c r="X88" s="65" t="str">
        <f t="shared" si="28"/>
        <v/>
      </c>
      <c r="Y88" s="78" t="str">
        <f t="shared" si="29"/>
        <v/>
      </c>
      <c r="Z88" s="21"/>
      <c r="AA88" s="138"/>
      <c r="AB88" s="21"/>
    </row>
    <row r="89" spans="1:28" x14ac:dyDescent="0.25">
      <c r="A89" s="21"/>
      <c r="B89" s="18"/>
      <c r="C89" s="85" t="str">
        <f>IF(B89="","",INDEX(Elements!B:B,MATCH(Design!B89,Elements!A:A,0)))</f>
        <v/>
      </c>
      <c r="D89" s="13"/>
      <c r="E89" s="85" t="str">
        <f>IFERROR(IF(D89="","",INDEX(Elements!J:J,MATCH(Design!D89,Elements!I:I,0))),SUBSTITUTE(D89," ",""))</f>
        <v/>
      </c>
      <c r="F89" s="13"/>
      <c r="G89" s="84" t="str">
        <f>IFERROR(IF(F89="","",INDEX(Elements!L:L,MATCH(Design!F89,Elements!K:K,0))),F89)</f>
        <v/>
      </c>
      <c r="H89" s="14"/>
      <c r="I89" s="14"/>
      <c r="J89" s="63" t="str">
        <f t="shared" ca="1" si="30"/>
        <v>columnHeaders</v>
      </c>
      <c r="K89" s="63">
        <f t="shared" ca="1" si="20"/>
        <v>0</v>
      </c>
      <c r="L89" s="63" t="str">
        <f ca="1">IF(K89="fontFamily","fontFamily",IF(K89="fontSize","fontSize",IFERROR(INDEX(Elements!M:M,MATCH(Design!J89&amp;"|"&amp;Design!K89,Elements!N:N,0)),"")))</f>
        <v/>
      </c>
      <c r="M89" s="65" t="str">
        <f ca="1">IF(OR(L89="",L89="fill"),"",MATCH(IF(L89="enumeration",J89&amp;"|"&amp;G89,Design!L89),Elements!N:N,0))</f>
        <v/>
      </c>
      <c r="N89" s="65" t="str">
        <f t="shared" si="26"/>
        <v/>
      </c>
      <c r="O89" s="65" t="str">
        <f ca="1">"Elements!"&amp;INDEX(Elements!H:H,MATCH(Design!J89,Elements!J:J,0))</f>
        <v>Elements!K36:K44</v>
      </c>
      <c r="P89" s="65" t="str">
        <f t="shared" ref="P89:P152" ca="1" si="33">IF(OR(L89="bool",L89="numeric",L89="formatting"),"",CHAR(34))</f>
        <v>"</v>
      </c>
      <c r="Q89" s="75" t="str">
        <f t="shared" si="23"/>
        <v/>
      </c>
      <c r="R89" s="5" t="str">
        <f t="shared" si="24"/>
        <v/>
      </c>
      <c r="S89" s="5" t="str">
        <f t="shared" si="21"/>
        <v/>
      </c>
      <c r="T89" s="76" t="str">
        <f t="shared" si="25"/>
        <v/>
      </c>
      <c r="U89" s="5">
        <f t="shared" si="32"/>
        <v>0</v>
      </c>
      <c r="V89" s="5">
        <f t="shared" si="31"/>
        <v>0</v>
      </c>
      <c r="W89" s="77" t="str">
        <f t="shared" si="27"/>
        <v/>
      </c>
      <c r="X89" s="65" t="str">
        <f t="shared" si="28"/>
        <v/>
      </c>
      <c r="Y89" s="78" t="str">
        <f t="shared" si="29"/>
        <v/>
      </c>
      <c r="Z89" s="21"/>
      <c r="AA89" s="138"/>
      <c r="AB89" s="21"/>
    </row>
    <row r="90" spans="1:28" x14ac:dyDescent="0.25">
      <c r="A90" s="21"/>
      <c r="B90" s="18"/>
      <c r="C90" s="85" t="str">
        <f>IF(B90="","",INDEX(Elements!B:B,MATCH(Design!B90,Elements!A:A,0)))</f>
        <v/>
      </c>
      <c r="D90" s="15"/>
      <c r="E90" s="85" t="str">
        <f>IFERROR(IF(D90="","",INDEX(Elements!J:J,MATCH(Design!D90,Elements!I:I,0))),SUBSTITUTE(D90," ",""))</f>
        <v/>
      </c>
      <c r="F90" s="15"/>
      <c r="G90" s="84" t="str">
        <f>IFERROR(IF(F90="","",INDEX(Elements!L:L,MATCH(Design!F90,Elements!K:K,0))),F90)</f>
        <v/>
      </c>
      <c r="H90" s="12"/>
      <c r="I90" s="14"/>
      <c r="J90" s="63" t="str">
        <f t="shared" ca="1" si="30"/>
        <v>columnHeaders</v>
      </c>
      <c r="K90" s="63">
        <f t="shared" ca="1" si="20"/>
        <v>0</v>
      </c>
      <c r="L90" s="63" t="str">
        <f ca="1">IF(K90="fontFamily","fontFamily",IF(K90="fontSize","fontSize",IFERROR(INDEX(Elements!M:M,MATCH(Design!J90&amp;"|"&amp;Design!K90,Elements!N:N,0)),"")))</f>
        <v/>
      </c>
      <c r="M90" s="65" t="str">
        <f ca="1">IF(OR(L90="",L90="fill"),"",MATCH(IF(L90="enumeration",J90&amp;"|"&amp;G90,Design!L90),Elements!N:N,0))</f>
        <v/>
      </c>
      <c r="N90" s="65" t="str">
        <f t="shared" si="26"/>
        <v/>
      </c>
      <c r="O90" s="65" t="str">
        <f ca="1">"Elements!"&amp;INDEX(Elements!H:H,MATCH(Design!J90,Elements!J:J,0))</f>
        <v>Elements!K36:K44</v>
      </c>
      <c r="P90" s="65" t="str">
        <f t="shared" ca="1" si="33"/>
        <v>"</v>
      </c>
      <c r="Q90" s="75" t="str">
        <f t="shared" si="23"/>
        <v/>
      </c>
      <c r="R90" s="5" t="str">
        <f t="shared" si="24"/>
        <v/>
      </c>
      <c r="S90" s="5" t="str">
        <f t="shared" si="21"/>
        <v/>
      </c>
      <c r="T90" s="76" t="str">
        <f t="shared" si="25"/>
        <v/>
      </c>
      <c r="U90" s="5">
        <f t="shared" si="32"/>
        <v>0</v>
      </c>
      <c r="V90" s="5">
        <f t="shared" si="31"/>
        <v>0</v>
      </c>
      <c r="W90" s="77" t="str">
        <f t="shared" si="27"/>
        <v/>
      </c>
      <c r="X90" s="65" t="str">
        <f t="shared" si="28"/>
        <v/>
      </c>
      <c r="Y90" s="78" t="str">
        <f t="shared" si="29"/>
        <v/>
      </c>
      <c r="Z90" s="21"/>
      <c r="AA90" s="138"/>
      <c r="AB90" s="21"/>
    </row>
    <row r="91" spans="1:28" x14ac:dyDescent="0.25">
      <c r="A91" s="21"/>
      <c r="B91" s="18"/>
      <c r="C91" s="85" t="str">
        <f>IF(B91="","",INDEX(Elements!B:B,MATCH(Design!B91,Elements!A:A,0)))</f>
        <v/>
      </c>
      <c r="D91" s="13"/>
      <c r="E91" s="85" t="str">
        <f>IFERROR(IF(D91="","",INDEX(Elements!J:J,MATCH(Design!D91,Elements!I:I,0))),SUBSTITUTE(D91," ",""))</f>
        <v/>
      </c>
      <c r="F91" s="13"/>
      <c r="G91" s="84" t="str">
        <f>IFERROR(IF(F91="","",INDEX(Elements!L:L,MATCH(Design!F91,Elements!K:K,0))),F91)</f>
        <v/>
      </c>
      <c r="H91" s="14"/>
      <c r="I91" s="14"/>
      <c r="J91" s="63" t="str">
        <f t="shared" ca="1" si="30"/>
        <v>columnHeaders</v>
      </c>
      <c r="K91" s="63">
        <f t="shared" ca="1" si="20"/>
        <v>0</v>
      </c>
      <c r="L91" s="63" t="str">
        <f ca="1">IF(K91="fontFamily","fontFamily",IF(K91="fontSize","fontSize",IFERROR(INDEX(Elements!M:M,MATCH(Design!J91&amp;"|"&amp;Design!K91,Elements!N:N,0)),"")))</f>
        <v/>
      </c>
      <c r="M91" s="65" t="str">
        <f ca="1">IF(OR(L91="",L91="fill"),"",MATCH(IF(L91="enumeration",J91&amp;"|"&amp;G91,Design!L91),Elements!N:N,0))</f>
        <v/>
      </c>
      <c r="N91" s="65" t="str">
        <f t="shared" si="26"/>
        <v/>
      </c>
      <c r="O91" s="65" t="str">
        <f ca="1">"Elements!"&amp;INDEX(Elements!H:H,MATCH(Design!J91,Elements!J:J,0))</f>
        <v>Elements!K36:K44</v>
      </c>
      <c r="P91" s="65" t="str">
        <f t="shared" ca="1" si="33"/>
        <v>"</v>
      </c>
      <c r="Q91" s="75" t="str">
        <f t="shared" si="23"/>
        <v/>
      </c>
      <c r="R91" s="5" t="str">
        <f t="shared" si="24"/>
        <v/>
      </c>
      <c r="S91" s="5" t="str">
        <f t="shared" si="21"/>
        <v/>
      </c>
      <c r="T91" s="76" t="str">
        <f t="shared" si="25"/>
        <v/>
      </c>
      <c r="U91" s="5">
        <f t="shared" si="32"/>
        <v>0</v>
      </c>
      <c r="V91" s="5">
        <f t="shared" si="31"/>
        <v>0</v>
      </c>
      <c r="W91" s="77" t="str">
        <f t="shared" si="27"/>
        <v/>
      </c>
      <c r="X91" s="65" t="str">
        <f t="shared" si="28"/>
        <v/>
      </c>
      <c r="Y91" s="78" t="str">
        <f t="shared" si="29"/>
        <v/>
      </c>
      <c r="Z91" s="21"/>
      <c r="AA91" s="138"/>
      <c r="AB91" s="21"/>
    </row>
    <row r="92" spans="1:28" x14ac:dyDescent="0.25">
      <c r="A92" s="21"/>
      <c r="B92" s="18"/>
      <c r="C92" s="85" t="str">
        <f>IF(B92="","",INDEX(Elements!B:B,MATCH(Design!B92,Elements!A:A,0)))</f>
        <v/>
      </c>
      <c r="D92" s="15"/>
      <c r="E92" s="85" t="str">
        <f>IFERROR(IF(D92="","",INDEX(Elements!J:J,MATCH(Design!D92,Elements!I:I,0))),SUBSTITUTE(D92," ",""))</f>
        <v/>
      </c>
      <c r="F92" s="15"/>
      <c r="G92" s="84" t="str">
        <f>IFERROR(IF(F92="","",INDEX(Elements!L:L,MATCH(Design!F92,Elements!K:K,0))),F92)</f>
        <v/>
      </c>
      <c r="H92" s="12"/>
      <c r="I92" s="14"/>
      <c r="J92" s="63" t="str">
        <f t="shared" ca="1" si="30"/>
        <v>columnHeaders</v>
      </c>
      <c r="K92" s="63">
        <f t="shared" ca="1" si="20"/>
        <v>0</v>
      </c>
      <c r="L92" s="63" t="str">
        <f ca="1">IF(K92="fontFamily","fontFamily",IF(K92="fontSize","fontSize",IFERROR(INDEX(Elements!M:M,MATCH(Design!J92&amp;"|"&amp;Design!K92,Elements!N:N,0)),"")))</f>
        <v/>
      </c>
      <c r="M92" s="65" t="str">
        <f ca="1">IF(OR(L92="",L92="fill"),"",MATCH(IF(L92="enumeration",J92&amp;"|"&amp;G92,Design!L92),Elements!N:N,0))</f>
        <v/>
      </c>
      <c r="N92" s="65" t="str">
        <f t="shared" si="26"/>
        <v/>
      </c>
      <c r="O92" s="65" t="str">
        <f ca="1">"Elements!"&amp;INDEX(Elements!H:H,MATCH(Design!J92,Elements!J:J,0))</f>
        <v>Elements!K36:K44</v>
      </c>
      <c r="P92" s="65" t="str">
        <f t="shared" ca="1" si="33"/>
        <v>"</v>
      </c>
      <c r="Q92" s="75" t="str">
        <f t="shared" si="23"/>
        <v/>
      </c>
      <c r="R92" s="5" t="str">
        <f t="shared" si="24"/>
        <v/>
      </c>
      <c r="S92" s="5" t="str">
        <f t="shared" si="21"/>
        <v/>
      </c>
      <c r="T92" s="76" t="str">
        <f t="shared" si="25"/>
        <v/>
      </c>
      <c r="U92" s="5">
        <f t="shared" si="32"/>
        <v>0</v>
      </c>
      <c r="V92" s="5">
        <f t="shared" si="31"/>
        <v>0</v>
      </c>
      <c r="W92" s="77" t="str">
        <f t="shared" si="27"/>
        <v/>
      </c>
      <c r="X92" s="65" t="str">
        <f t="shared" si="28"/>
        <v/>
      </c>
      <c r="Y92" s="78" t="str">
        <f t="shared" si="29"/>
        <v/>
      </c>
      <c r="Z92" s="21"/>
      <c r="AA92" s="138"/>
      <c r="AB92" s="21"/>
    </row>
    <row r="93" spans="1:28" x14ac:dyDescent="0.25">
      <c r="A93" s="21"/>
      <c r="B93" s="18"/>
      <c r="C93" s="85" t="str">
        <f>IF(B93="","",INDEX(Elements!B:B,MATCH(Design!B93,Elements!A:A,0)))</f>
        <v/>
      </c>
      <c r="D93" s="15"/>
      <c r="E93" s="85" t="str">
        <f>IFERROR(IF(D93="","",INDEX(Elements!J:J,MATCH(Design!D93,Elements!I:I,0))),SUBSTITUTE(D93," ",""))</f>
        <v/>
      </c>
      <c r="F93" s="15"/>
      <c r="G93" s="84" t="str">
        <f>IFERROR(IF(F93="","",INDEX(Elements!L:L,MATCH(Design!F93,Elements!K:K,0))),F93)</f>
        <v/>
      </c>
      <c r="H93" s="12"/>
      <c r="I93" s="14"/>
      <c r="J93" s="63" t="str">
        <f t="shared" ca="1" si="30"/>
        <v>columnHeaders</v>
      </c>
      <c r="K93" s="63">
        <f t="shared" ca="1" si="20"/>
        <v>0</v>
      </c>
      <c r="L93" s="63" t="str">
        <f ca="1">IF(K93="fontFamily","fontFamily",IF(K93="fontSize","fontSize",IFERROR(INDEX(Elements!M:M,MATCH(Design!J93&amp;"|"&amp;Design!K93,Elements!N:N,0)),"")))</f>
        <v/>
      </c>
      <c r="M93" s="65" t="str">
        <f ca="1">IF(OR(L93="",L93="fill"),"",MATCH(IF(L93="enumeration",J93&amp;"|"&amp;G93,Design!L93),Elements!N:N,0))</f>
        <v/>
      </c>
      <c r="N93" s="65" t="str">
        <f t="shared" si="26"/>
        <v/>
      </c>
      <c r="O93" s="65" t="str">
        <f ca="1">"Elements!"&amp;INDEX(Elements!H:H,MATCH(Design!J93,Elements!J:J,0))</f>
        <v>Elements!K36:K44</v>
      </c>
      <c r="P93" s="65" t="str">
        <f t="shared" ca="1" si="33"/>
        <v>"</v>
      </c>
      <c r="Q93" s="75" t="str">
        <f t="shared" si="23"/>
        <v/>
      </c>
      <c r="R93" s="5" t="str">
        <f t="shared" si="24"/>
        <v/>
      </c>
      <c r="S93" s="5" t="str">
        <f t="shared" si="21"/>
        <v/>
      </c>
      <c r="T93" s="76" t="str">
        <f t="shared" si="25"/>
        <v/>
      </c>
      <c r="U93" s="5">
        <f t="shared" si="32"/>
        <v>0</v>
      </c>
      <c r="V93" s="5">
        <f t="shared" si="31"/>
        <v>0</v>
      </c>
      <c r="W93" s="77" t="str">
        <f t="shared" si="27"/>
        <v/>
      </c>
      <c r="X93" s="65" t="str">
        <f t="shared" si="28"/>
        <v/>
      </c>
      <c r="Y93" s="78" t="str">
        <f t="shared" si="29"/>
        <v/>
      </c>
      <c r="Z93" s="21"/>
      <c r="AA93" s="138"/>
      <c r="AB93" s="21"/>
    </row>
    <row r="94" spans="1:28" x14ac:dyDescent="0.25">
      <c r="A94" s="21"/>
      <c r="B94" s="18"/>
      <c r="C94" s="85" t="str">
        <f>IF(B94="","",INDEX(Elements!B:B,MATCH(Design!B94,Elements!A:A,0)))</f>
        <v/>
      </c>
      <c r="D94" s="13"/>
      <c r="E94" s="85" t="str">
        <f>IFERROR(IF(D94="","",INDEX(Elements!J:J,MATCH(Design!D94,Elements!I:I,0))),SUBSTITUTE(D94," ",""))</f>
        <v/>
      </c>
      <c r="F94" s="13"/>
      <c r="G94" s="84" t="str">
        <f>IFERROR(IF(F94="","",INDEX(Elements!L:L,MATCH(Design!F94,Elements!K:K,0))),F94)</f>
        <v/>
      </c>
      <c r="H94" s="14"/>
      <c r="I94" s="14"/>
      <c r="J94" s="63" t="str">
        <f t="shared" ca="1" si="30"/>
        <v>columnHeaders</v>
      </c>
      <c r="K94" s="63">
        <f t="shared" ca="1" si="20"/>
        <v>0</v>
      </c>
      <c r="L94" s="63" t="str">
        <f ca="1">IF(K94="fontFamily","fontFamily",IF(K94="fontSize","fontSize",IFERROR(INDEX(Elements!M:M,MATCH(Design!J94&amp;"|"&amp;Design!K94,Elements!N:N,0)),"")))</f>
        <v/>
      </c>
      <c r="M94" s="65" t="str">
        <f ca="1">IF(OR(L94="",L94="fill"),"",MATCH(IF(L94="enumeration",J94&amp;"|"&amp;G94,Design!L94),Elements!N:N,0))</f>
        <v/>
      </c>
      <c r="N94" s="65" t="str">
        <f t="shared" si="26"/>
        <v/>
      </c>
      <c r="O94" s="65" t="str">
        <f ca="1">"Elements!"&amp;INDEX(Elements!H:H,MATCH(Design!J94,Elements!J:J,0))</f>
        <v>Elements!K36:K44</v>
      </c>
      <c r="P94" s="65" t="str">
        <f t="shared" ca="1" si="33"/>
        <v>"</v>
      </c>
      <c r="Q94" s="75" t="str">
        <f t="shared" si="23"/>
        <v/>
      </c>
      <c r="R94" s="5" t="str">
        <f t="shared" si="24"/>
        <v/>
      </c>
      <c r="S94" s="5" t="str">
        <f t="shared" si="21"/>
        <v/>
      </c>
      <c r="T94" s="76" t="str">
        <f t="shared" si="25"/>
        <v/>
      </c>
      <c r="U94" s="5">
        <f t="shared" si="32"/>
        <v>0</v>
      </c>
      <c r="V94" s="5">
        <f t="shared" si="31"/>
        <v>0</v>
      </c>
      <c r="W94" s="77" t="str">
        <f t="shared" si="27"/>
        <v/>
      </c>
      <c r="X94" s="65" t="str">
        <f t="shared" si="28"/>
        <v/>
      </c>
      <c r="Y94" s="78" t="str">
        <f t="shared" si="29"/>
        <v/>
      </c>
      <c r="Z94" s="21"/>
      <c r="AA94" s="138"/>
      <c r="AB94" s="21"/>
    </row>
    <row r="95" spans="1:28" x14ac:dyDescent="0.25">
      <c r="A95" s="21"/>
      <c r="B95" s="18"/>
      <c r="C95" s="85" t="str">
        <f>IF(B95="","",INDEX(Elements!B:B,MATCH(Design!B95,Elements!A:A,0)))</f>
        <v/>
      </c>
      <c r="D95" s="15"/>
      <c r="E95" s="85" t="str">
        <f>IFERROR(IF(D95="","",INDEX(Elements!J:J,MATCH(Design!D95,Elements!I:I,0))),SUBSTITUTE(D95," ",""))</f>
        <v/>
      </c>
      <c r="F95" s="15"/>
      <c r="G95" s="84" t="str">
        <f>IFERROR(IF(F95="","",INDEX(Elements!L:L,MATCH(Design!F95,Elements!K:K,0))),F95)</f>
        <v/>
      </c>
      <c r="H95" s="12"/>
      <c r="I95" s="14"/>
      <c r="J95" s="63" t="str">
        <f t="shared" ca="1" si="30"/>
        <v>columnHeaders</v>
      </c>
      <c r="K95" s="63">
        <f t="shared" ca="1" si="20"/>
        <v>0</v>
      </c>
      <c r="L95" s="63" t="str">
        <f ca="1">IF(K95="fontFamily","fontFamily",IF(K95="fontSize","fontSize",IFERROR(INDEX(Elements!M:M,MATCH(Design!J95&amp;"|"&amp;Design!K95,Elements!N:N,0)),"")))</f>
        <v/>
      </c>
      <c r="M95" s="65" t="str">
        <f ca="1">IF(OR(L95="",L95="fill"),"",MATCH(IF(L95="enumeration",J95&amp;"|"&amp;G95,Design!L95),Elements!N:N,0))</f>
        <v/>
      </c>
      <c r="N95" s="65" t="str">
        <f t="shared" si="26"/>
        <v/>
      </c>
      <c r="O95" s="65" t="str">
        <f ca="1">"Elements!"&amp;INDEX(Elements!H:H,MATCH(Design!J95,Elements!J:J,0))</f>
        <v>Elements!K36:K44</v>
      </c>
      <c r="P95" s="65" t="str">
        <f t="shared" ca="1" si="33"/>
        <v>"</v>
      </c>
      <c r="Q95" s="75" t="str">
        <f t="shared" si="23"/>
        <v/>
      </c>
      <c r="R95" s="5" t="str">
        <f t="shared" si="24"/>
        <v/>
      </c>
      <c r="S95" s="5" t="str">
        <f t="shared" si="21"/>
        <v/>
      </c>
      <c r="T95" s="76" t="str">
        <f t="shared" si="25"/>
        <v/>
      </c>
      <c r="U95" s="5">
        <f t="shared" si="32"/>
        <v>0</v>
      </c>
      <c r="V95" s="5">
        <f t="shared" si="31"/>
        <v>0</v>
      </c>
      <c r="W95" s="77" t="str">
        <f t="shared" si="27"/>
        <v/>
      </c>
      <c r="X95" s="65" t="str">
        <f t="shared" si="28"/>
        <v/>
      </c>
      <c r="Y95" s="78" t="str">
        <f t="shared" si="29"/>
        <v/>
      </c>
      <c r="Z95" s="21"/>
      <c r="AA95" s="138"/>
      <c r="AB95" s="21"/>
    </row>
    <row r="96" spans="1:28" x14ac:dyDescent="0.25">
      <c r="A96" s="21"/>
      <c r="B96" s="18"/>
      <c r="C96" s="85" t="str">
        <f>IF(B96="","",INDEX(Elements!B:B,MATCH(Design!B96,Elements!A:A,0)))</f>
        <v/>
      </c>
      <c r="D96" s="13"/>
      <c r="E96" s="85" t="str">
        <f>IFERROR(IF(D96="","",INDEX(Elements!J:J,MATCH(Design!D96,Elements!I:I,0))),SUBSTITUTE(D96," ",""))</f>
        <v/>
      </c>
      <c r="F96" s="13"/>
      <c r="G96" s="84" t="str">
        <f>IFERROR(IF(F96="","",INDEX(Elements!L:L,MATCH(Design!F96,Elements!K:K,0))),F96)</f>
        <v/>
      </c>
      <c r="H96" s="14"/>
      <c r="I96" s="14"/>
      <c r="J96" s="63" t="str">
        <f t="shared" ca="1" si="30"/>
        <v>columnHeaders</v>
      </c>
      <c r="K96" s="63">
        <f t="shared" ca="1" si="20"/>
        <v>0</v>
      </c>
      <c r="L96" s="63" t="str">
        <f ca="1">IF(K96="fontFamily","fontFamily",IF(K96="fontSize","fontSize",IFERROR(INDEX(Elements!M:M,MATCH(Design!J96&amp;"|"&amp;Design!K96,Elements!N:N,0)),"")))</f>
        <v/>
      </c>
      <c r="M96" s="65" t="str">
        <f ca="1">IF(OR(L96="",L96="fill"),"",MATCH(IF(L96="enumeration",J96&amp;"|"&amp;G96,Design!L96),Elements!N:N,0))</f>
        <v/>
      </c>
      <c r="N96" s="65" t="str">
        <f t="shared" si="26"/>
        <v/>
      </c>
      <c r="O96" s="65" t="str">
        <f ca="1">"Elements!"&amp;INDEX(Elements!H:H,MATCH(Design!J96,Elements!J:J,0))</f>
        <v>Elements!K36:K44</v>
      </c>
      <c r="P96" s="65" t="str">
        <f t="shared" ca="1" si="33"/>
        <v>"</v>
      </c>
      <c r="Q96" s="75" t="str">
        <f t="shared" si="23"/>
        <v/>
      </c>
      <c r="R96" s="5" t="str">
        <f t="shared" si="24"/>
        <v/>
      </c>
      <c r="S96" s="5" t="str">
        <f t="shared" si="21"/>
        <v/>
      </c>
      <c r="T96" s="76" t="str">
        <f t="shared" si="25"/>
        <v/>
      </c>
      <c r="U96" s="5">
        <f t="shared" si="32"/>
        <v>0</v>
      </c>
      <c r="V96" s="5">
        <f t="shared" si="31"/>
        <v>0</v>
      </c>
      <c r="W96" s="77" t="str">
        <f t="shared" si="27"/>
        <v/>
      </c>
      <c r="X96" s="65" t="str">
        <f t="shared" si="28"/>
        <v/>
      </c>
      <c r="Y96" s="78" t="str">
        <f t="shared" si="29"/>
        <v/>
      </c>
      <c r="Z96" s="21"/>
      <c r="AA96" s="138"/>
      <c r="AB96" s="21"/>
    </row>
    <row r="97" spans="1:28" x14ac:dyDescent="0.25">
      <c r="A97" s="21"/>
      <c r="B97" s="18"/>
      <c r="C97" s="85" t="str">
        <f>IF(B97="","",INDEX(Elements!B:B,MATCH(Design!B97,Elements!A:A,0)))</f>
        <v/>
      </c>
      <c r="D97" s="15"/>
      <c r="E97" s="85" t="str">
        <f>IFERROR(IF(D97="","",INDEX(Elements!J:J,MATCH(Design!D97,Elements!I:I,0))),SUBSTITUTE(D97," ",""))</f>
        <v/>
      </c>
      <c r="F97" s="15"/>
      <c r="G97" s="84" t="str">
        <f>IFERROR(IF(F97="","",INDEX(Elements!L:L,MATCH(Design!F97,Elements!K:K,0))),F97)</f>
        <v/>
      </c>
      <c r="H97" s="12"/>
      <c r="I97" s="14"/>
      <c r="J97" s="63" t="str">
        <f t="shared" ca="1" si="30"/>
        <v>columnHeaders</v>
      </c>
      <c r="K97" s="63">
        <f t="shared" ca="1" si="20"/>
        <v>0</v>
      </c>
      <c r="L97" s="63" t="str">
        <f ca="1">IF(K97="fontFamily","fontFamily",IF(K97="fontSize","fontSize",IFERROR(INDEX(Elements!M:M,MATCH(Design!J97&amp;"|"&amp;Design!K97,Elements!N:N,0)),"")))</f>
        <v/>
      </c>
      <c r="M97" s="65" t="str">
        <f ca="1">IF(OR(L97="",L97="fill"),"",MATCH(IF(L97="enumeration",J97&amp;"|"&amp;G97,Design!L97),Elements!N:N,0))</f>
        <v/>
      </c>
      <c r="N97" s="65" t="str">
        <f t="shared" si="26"/>
        <v/>
      </c>
      <c r="O97" s="65" t="str">
        <f ca="1">"Elements!"&amp;INDEX(Elements!H:H,MATCH(Design!J97,Elements!J:J,0))</f>
        <v>Elements!K36:K44</v>
      </c>
      <c r="P97" s="65" t="str">
        <f t="shared" ca="1" si="33"/>
        <v>"</v>
      </c>
      <c r="Q97" s="75" t="str">
        <f t="shared" si="23"/>
        <v/>
      </c>
      <c r="R97" s="5" t="str">
        <f t="shared" si="24"/>
        <v/>
      </c>
      <c r="S97" s="5" t="str">
        <f t="shared" si="21"/>
        <v/>
      </c>
      <c r="T97" s="76" t="str">
        <f t="shared" si="25"/>
        <v/>
      </c>
      <c r="U97" s="5">
        <f t="shared" si="32"/>
        <v>0</v>
      </c>
      <c r="V97" s="5">
        <f t="shared" si="31"/>
        <v>0</v>
      </c>
      <c r="W97" s="77" t="str">
        <f t="shared" si="27"/>
        <v/>
      </c>
      <c r="X97" s="65" t="str">
        <f t="shared" si="28"/>
        <v/>
      </c>
      <c r="Y97" s="78" t="str">
        <f t="shared" si="29"/>
        <v/>
      </c>
      <c r="Z97" s="21"/>
      <c r="AA97" s="138"/>
      <c r="AB97" s="21"/>
    </row>
    <row r="98" spans="1:28" x14ac:dyDescent="0.25">
      <c r="A98" s="21"/>
      <c r="B98" s="18"/>
      <c r="C98" s="85" t="str">
        <f>IF(B98="","",INDEX(Elements!B:B,MATCH(Design!B98,Elements!A:A,0)))</f>
        <v/>
      </c>
      <c r="D98" s="13"/>
      <c r="E98" s="85" t="str">
        <f>IFERROR(IF(D98="","",INDEX(Elements!J:J,MATCH(Design!D98,Elements!I:I,0))),SUBSTITUTE(D98," ",""))</f>
        <v/>
      </c>
      <c r="F98" s="13"/>
      <c r="G98" s="84" t="str">
        <f>IFERROR(IF(F98="","",INDEX(Elements!L:L,MATCH(Design!F98,Elements!K:K,0))),F98)</f>
        <v/>
      </c>
      <c r="H98" s="14"/>
      <c r="I98" s="14"/>
      <c r="J98" s="63" t="str">
        <f t="shared" ca="1" si="30"/>
        <v>columnHeaders</v>
      </c>
      <c r="K98" s="63">
        <f t="shared" ca="1" si="20"/>
        <v>0</v>
      </c>
      <c r="L98" s="63" t="str">
        <f ca="1">IF(K98="fontFamily","fontFamily",IF(K98="fontSize","fontSize",IFERROR(INDEX(Elements!M:M,MATCH(Design!J98&amp;"|"&amp;Design!K98,Elements!N:N,0)),"")))</f>
        <v/>
      </c>
      <c r="M98" s="65" t="str">
        <f ca="1">IF(OR(L98="",L98="fill"),"",MATCH(IF(L98="enumeration",J98&amp;"|"&amp;G98,Design!L98),Elements!N:N,0))</f>
        <v/>
      </c>
      <c r="N98" s="65" t="str">
        <f t="shared" si="26"/>
        <v/>
      </c>
      <c r="O98" s="65" t="str">
        <f ca="1">"Elements!"&amp;INDEX(Elements!H:H,MATCH(Design!J98,Elements!J:J,0))</f>
        <v>Elements!K36:K44</v>
      </c>
      <c r="P98" s="65" t="str">
        <f t="shared" ca="1" si="33"/>
        <v>"</v>
      </c>
      <c r="Q98" s="75" t="str">
        <f t="shared" si="23"/>
        <v/>
      </c>
      <c r="R98" s="5" t="str">
        <f t="shared" si="24"/>
        <v/>
      </c>
      <c r="S98" s="5" t="str">
        <f t="shared" si="21"/>
        <v/>
      </c>
      <c r="T98" s="76" t="str">
        <f t="shared" si="25"/>
        <v/>
      </c>
      <c r="U98" s="5">
        <f t="shared" si="32"/>
        <v>0</v>
      </c>
      <c r="V98" s="5">
        <f t="shared" si="31"/>
        <v>0</v>
      </c>
      <c r="W98" s="77" t="str">
        <f t="shared" si="27"/>
        <v/>
      </c>
      <c r="X98" s="65" t="str">
        <f t="shared" si="28"/>
        <v/>
      </c>
      <c r="Y98" s="78" t="str">
        <f t="shared" si="29"/>
        <v/>
      </c>
      <c r="Z98" s="21"/>
      <c r="AA98" s="138"/>
      <c r="AB98" s="21"/>
    </row>
    <row r="99" spans="1:28" x14ac:dyDescent="0.25">
      <c r="A99" s="21"/>
      <c r="B99" s="18"/>
      <c r="C99" s="85" t="str">
        <f>IF(B99="","",INDEX(Elements!B:B,MATCH(Design!B99,Elements!A:A,0)))</f>
        <v/>
      </c>
      <c r="D99" s="15"/>
      <c r="E99" s="85" t="str">
        <f>IFERROR(IF(D99="","",INDEX(Elements!J:J,MATCH(Design!D99,Elements!I:I,0))),SUBSTITUTE(D99," ",""))</f>
        <v/>
      </c>
      <c r="F99" s="15"/>
      <c r="G99" s="84" t="str">
        <f>IFERROR(IF(F99="","",INDEX(Elements!L:L,MATCH(Design!F99,Elements!K:K,0))),F99)</f>
        <v/>
      </c>
      <c r="H99" s="12"/>
      <c r="I99" s="14"/>
      <c r="J99" s="63" t="str">
        <f t="shared" ca="1" si="30"/>
        <v>columnHeaders</v>
      </c>
      <c r="K99" s="63">
        <f t="shared" ca="1" si="20"/>
        <v>0</v>
      </c>
      <c r="L99" s="63" t="str">
        <f ca="1">IF(K99="fontFamily","fontFamily",IF(K99="fontSize","fontSize",IFERROR(INDEX(Elements!M:M,MATCH(Design!J99&amp;"|"&amp;Design!K99,Elements!N:N,0)),"")))</f>
        <v/>
      </c>
      <c r="M99" s="65" t="str">
        <f ca="1">IF(OR(L99="",L99="fill"),"",MATCH(IF(L99="enumeration",J99&amp;"|"&amp;G99,Design!L99),Elements!N:N,0))</f>
        <v/>
      </c>
      <c r="N99" s="65" t="str">
        <f t="shared" si="26"/>
        <v/>
      </c>
      <c r="O99" s="65" t="str">
        <f ca="1">"Elements!"&amp;INDEX(Elements!H:H,MATCH(Design!J99,Elements!J:J,0))</f>
        <v>Elements!K36:K44</v>
      </c>
      <c r="P99" s="65" t="str">
        <f t="shared" ca="1" si="33"/>
        <v>"</v>
      </c>
      <c r="Q99" s="75" t="str">
        <f t="shared" si="23"/>
        <v/>
      </c>
      <c r="R99" s="5" t="str">
        <f t="shared" si="24"/>
        <v/>
      </c>
      <c r="S99" s="5" t="str">
        <f t="shared" si="21"/>
        <v/>
      </c>
      <c r="T99" s="76" t="str">
        <f t="shared" si="25"/>
        <v/>
      </c>
      <c r="U99" s="5">
        <f t="shared" si="32"/>
        <v>0</v>
      </c>
      <c r="V99" s="5">
        <f t="shared" si="31"/>
        <v>0</v>
      </c>
      <c r="W99" s="77" t="str">
        <f t="shared" si="27"/>
        <v/>
      </c>
      <c r="X99" s="65" t="str">
        <f t="shared" si="28"/>
        <v/>
      </c>
      <c r="Y99" s="78" t="str">
        <f t="shared" si="29"/>
        <v/>
      </c>
      <c r="Z99" s="21"/>
      <c r="AA99" s="138"/>
      <c r="AB99" s="21"/>
    </row>
    <row r="100" spans="1:28" x14ac:dyDescent="0.25">
      <c r="A100" s="21"/>
      <c r="B100" s="18"/>
      <c r="C100" s="85" t="str">
        <f>IF(B100="","",INDEX(Elements!B:B,MATCH(Design!B100,Elements!A:A,0)))</f>
        <v/>
      </c>
      <c r="D100" s="13"/>
      <c r="E100" s="85" t="str">
        <f>IFERROR(IF(D100="","",INDEX(Elements!J:J,MATCH(Design!D100,Elements!I:I,0))),SUBSTITUTE(D100," ",""))</f>
        <v/>
      </c>
      <c r="F100" s="13"/>
      <c r="G100" s="84" t="str">
        <f>IFERROR(IF(F100="","",INDEX(Elements!L:L,MATCH(Design!F100,Elements!K:K,0))),F100)</f>
        <v/>
      </c>
      <c r="H100" s="14"/>
      <c r="I100" s="14"/>
      <c r="J100" s="63" t="str">
        <f t="shared" ca="1" si="30"/>
        <v>columnHeaders</v>
      </c>
      <c r="K100" s="63">
        <f t="shared" ca="1" si="20"/>
        <v>0</v>
      </c>
      <c r="L100" s="63" t="str">
        <f ca="1">IF(K100="fontFamily","fontFamily",IF(K100="fontSize","fontSize",IFERROR(INDEX(Elements!M:M,MATCH(Design!J100&amp;"|"&amp;Design!K100,Elements!N:N,0)),"")))</f>
        <v/>
      </c>
      <c r="M100" s="65" t="str">
        <f ca="1">IF(OR(L100="",L100="fill"),"",MATCH(IF(L100="enumeration",J100&amp;"|"&amp;G100,Design!L100),Elements!N:N,0))</f>
        <v/>
      </c>
      <c r="N100" s="65" t="str">
        <f t="shared" si="26"/>
        <v/>
      </c>
      <c r="O100" s="65" t="str">
        <f ca="1">"Elements!"&amp;INDEX(Elements!H:H,MATCH(Design!J100,Elements!J:J,0))</f>
        <v>Elements!K36:K44</v>
      </c>
      <c r="P100" s="65" t="str">
        <f t="shared" ca="1" si="33"/>
        <v>"</v>
      </c>
      <c r="Q100" s="75" t="str">
        <f t="shared" si="23"/>
        <v/>
      </c>
      <c r="R100" s="5" t="str">
        <f t="shared" si="24"/>
        <v/>
      </c>
      <c r="S100" s="5" t="str">
        <f t="shared" si="21"/>
        <v/>
      </c>
      <c r="T100" s="76" t="str">
        <f t="shared" si="25"/>
        <v/>
      </c>
      <c r="U100" s="5">
        <f t="shared" si="32"/>
        <v>0</v>
      </c>
      <c r="V100" s="5">
        <f t="shared" si="31"/>
        <v>0</v>
      </c>
      <c r="W100" s="77" t="str">
        <f t="shared" si="27"/>
        <v/>
      </c>
      <c r="X100" s="65" t="str">
        <f t="shared" si="28"/>
        <v/>
      </c>
      <c r="Y100" s="78" t="str">
        <f t="shared" si="29"/>
        <v/>
      </c>
      <c r="Z100" s="21"/>
      <c r="AA100" s="138"/>
      <c r="AB100" s="21"/>
    </row>
    <row r="101" spans="1:28" x14ac:dyDescent="0.25">
      <c r="A101" s="21"/>
      <c r="B101" s="18"/>
      <c r="C101" s="85" t="str">
        <f>IF(B101="","",INDEX(Elements!B:B,MATCH(Design!B101,Elements!A:A,0)))</f>
        <v/>
      </c>
      <c r="D101" s="13"/>
      <c r="E101" s="85" t="str">
        <f>IFERROR(IF(D101="","",INDEX(Elements!J:J,MATCH(Design!D101,Elements!I:I,0))),SUBSTITUTE(D101," ",""))</f>
        <v/>
      </c>
      <c r="F101" s="13"/>
      <c r="G101" s="84" t="str">
        <f>IFERROR(IF(F101="","",INDEX(Elements!L:L,MATCH(Design!F101,Elements!K:K,0))),F101)</f>
        <v/>
      </c>
      <c r="H101" s="14"/>
      <c r="I101" s="14"/>
      <c r="J101" s="63" t="str">
        <f t="shared" ca="1" si="30"/>
        <v>columnHeaders</v>
      </c>
      <c r="K101" s="63">
        <f t="shared" ca="1" si="20"/>
        <v>0</v>
      </c>
      <c r="L101" s="63" t="str">
        <f ca="1">IF(K101="fontFamily","fontFamily",IF(K101="fontSize","fontSize",IFERROR(INDEX(Elements!M:M,MATCH(Design!J101&amp;"|"&amp;Design!K101,Elements!N:N,0)),"")))</f>
        <v/>
      </c>
      <c r="M101" s="65" t="str">
        <f ca="1">IF(OR(L101="",L101="fill"),"",MATCH(IF(L101="enumeration",J101&amp;"|"&amp;G101,Design!L101),Elements!N:N,0))</f>
        <v/>
      </c>
      <c r="N101" s="65" t="str">
        <f t="shared" si="26"/>
        <v/>
      </c>
      <c r="O101" s="65" t="str">
        <f ca="1">"Elements!"&amp;INDEX(Elements!H:H,MATCH(Design!J101,Elements!J:J,0))</f>
        <v>Elements!K36:K44</v>
      </c>
      <c r="P101" s="65" t="str">
        <f t="shared" ca="1" si="33"/>
        <v>"</v>
      </c>
      <c r="Q101" s="75" t="str">
        <f t="shared" si="23"/>
        <v/>
      </c>
      <c r="R101" s="5" t="str">
        <f t="shared" si="24"/>
        <v/>
      </c>
      <c r="S101" s="5" t="str">
        <f t="shared" si="21"/>
        <v/>
      </c>
      <c r="T101" s="76" t="str">
        <f t="shared" si="25"/>
        <v/>
      </c>
      <c r="U101" s="5">
        <f t="shared" si="32"/>
        <v>0</v>
      </c>
      <c r="V101" s="5">
        <f t="shared" si="31"/>
        <v>0</v>
      </c>
      <c r="W101" s="77" t="str">
        <f t="shared" si="27"/>
        <v/>
      </c>
      <c r="X101" s="65" t="str">
        <f t="shared" si="28"/>
        <v/>
      </c>
      <c r="Y101" s="78" t="str">
        <f t="shared" si="29"/>
        <v/>
      </c>
      <c r="Z101" s="21"/>
      <c r="AA101" s="138"/>
      <c r="AB101" s="21"/>
    </row>
    <row r="102" spans="1:28" x14ac:dyDescent="0.25">
      <c r="A102" s="21"/>
      <c r="B102" s="18"/>
      <c r="C102" s="85" t="str">
        <f>IF(B102="","",INDEX(Elements!B:B,MATCH(Design!B102,Elements!A:A,0)))</f>
        <v/>
      </c>
      <c r="D102" s="15"/>
      <c r="E102" s="85" t="str">
        <f>IFERROR(IF(D102="","",INDEX(Elements!J:J,MATCH(Design!D102,Elements!I:I,0))),SUBSTITUTE(D102," ",""))</f>
        <v/>
      </c>
      <c r="F102" s="15"/>
      <c r="G102" s="84" t="str">
        <f>IFERROR(IF(F102="","",INDEX(Elements!L:L,MATCH(Design!F102,Elements!K:K,0))),F102)</f>
        <v/>
      </c>
      <c r="H102" s="12"/>
      <c r="I102" s="14"/>
      <c r="J102" s="63" t="str">
        <f t="shared" ca="1" si="30"/>
        <v>columnHeaders</v>
      </c>
      <c r="K102" s="63">
        <f t="shared" ca="1" si="20"/>
        <v>0</v>
      </c>
      <c r="L102" s="63" t="str">
        <f ca="1">IF(K102="fontFamily","fontFamily",IF(K102="fontSize","fontSize",IFERROR(INDEX(Elements!M:M,MATCH(Design!J102&amp;"|"&amp;Design!K102,Elements!N:N,0)),"")))</f>
        <v/>
      </c>
      <c r="M102" s="65" t="str">
        <f ca="1">IF(OR(L102="",L102="fill"),"",MATCH(IF(L102="enumeration",J102&amp;"|"&amp;G102,Design!L102),Elements!N:N,0))</f>
        <v/>
      </c>
      <c r="N102" s="65" t="str">
        <f t="shared" si="26"/>
        <v/>
      </c>
      <c r="O102" s="65" t="str">
        <f ca="1">"Elements!"&amp;INDEX(Elements!H:H,MATCH(Design!J102,Elements!J:J,0))</f>
        <v>Elements!K36:K44</v>
      </c>
      <c r="P102" s="65" t="str">
        <f t="shared" ca="1" si="33"/>
        <v>"</v>
      </c>
      <c r="Q102" s="75" t="str">
        <f t="shared" si="23"/>
        <v/>
      </c>
      <c r="R102" s="5" t="str">
        <f t="shared" si="24"/>
        <v/>
      </c>
      <c r="S102" s="5" t="str">
        <f t="shared" si="21"/>
        <v/>
      </c>
      <c r="T102" s="76" t="str">
        <f t="shared" si="25"/>
        <v/>
      </c>
      <c r="U102" s="5">
        <f t="shared" si="32"/>
        <v>0</v>
      </c>
      <c r="V102" s="5">
        <f t="shared" si="31"/>
        <v>0</v>
      </c>
      <c r="W102" s="77" t="str">
        <f t="shared" si="27"/>
        <v/>
      </c>
      <c r="X102" s="65" t="str">
        <f t="shared" si="28"/>
        <v/>
      </c>
      <c r="Y102" s="78" t="str">
        <f t="shared" si="29"/>
        <v/>
      </c>
      <c r="Z102" s="21"/>
      <c r="AA102" s="138"/>
      <c r="AB102" s="21"/>
    </row>
    <row r="103" spans="1:28" x14ac:dyDescent="0.25">
      <c r="A103" s="21"/>
      <c r="B103" s="18"/>
      <c r="C103" s="85" t="str">
        <f>IF(B103="","",INDEX(Elements!B:B,MATCH(Design!B103,Elements!A:A,0)))</f>
        <v/>
      </c>
      <c r="D103" s="15"/>
      <c r="E103" s="85" t="str">
        <f>IFERROR(IF(D103="","",INDEX(Elements!J:J,MATCH(Design!D103,Elements!I:I,0))),SUBSTITUTE(D103," ",""))</f>
        <v/>
      </c>
      <c r="F103" s="15"/>
      <c r="G103" s="84" t="str">
        <f>IFERROR(IF(F103="","",INDEX(Elements!L:L,MATCH(Design!F103,Elements!K:K,0))),F103)</f>
        <v/>
      </c>
      <c r="H103" s="12"/>
      <c r="I103" s="14"/>
      <c r="J103" s="63" t="str">
        <f t="shared" ca="1" si="30"/>
        <v>columnHeaders</v>
      </c>
      <c r="K103" s="63">
        <f t="shared" ca="1" si="20"/>
        <v>0</v>
      </c>
      <c r="L103" s="63" t="str">
        <f ca="1">IF(K103="fontFamily","fontFamily",IF(K103="fontSize","fontSize",IFERROR(INDEX(Elements!M:M,MATCH(Design!J103&amp;"|"&amp;Design!K103,Elements!N:N,0)),"")))</f>
        <v/>
      </c>
      <c r="M103" s="65" t="str">
        <f ca="1">IF(OR(L103="",L103="fill"),"",MATCH(IF(L103="enumeration",J103&amp;"|"&amp;G103,Design!L103),Elements!N:N,0))</f>
        <v/>
      </c>
      <c r="N103" s="65" t="str">
        <f t="shared" si="26"/>
        <v/>
      </c>
      <c r="O103" s="65" t="str">
        <f ca="1">"Elements!"&amp;INDEX(Elements!H:H,MATCH(Design!J103,Elements!J:J,0))</f>
        <v>Elements!K36:K44</v>
      </c>
      <c r="P103" s="65" t="str">
        <f t="shared" ca="1" si="33"/>
        <v>"</v>
      </c>
      <c r="Q103" s="75" t="str">
        <f t="shared" si="23"/>
        <v/>
      </c>
      <c r="R103" s="5" t="str">
        <f t="shared" si="24"/>
        <v/>
      </c>
      <c r="S103" s="5" t="str">
        <f t="shared" si="21"/>
        <v/>
      </c>
      <c r="T103" s="76" t="str">
        <f t="shared" si="25"/>
        <v/>
      </c>
      <c r="U103" s="5">
        <f t="shared" si="32"/>
        <v>0</v>
      </c>
      <c r="V103" s="5">
        <f t="shared" si="31"/>
        <v>0</v>
      </c>
      <c r="W103" s="77" t="str">
        <f t="shared" si="27"/>
        <v/>
      </c>
      <c r="X103" s="65" t="str">
        <f t="shared" si="28"/>
        <v/>
      </c>
      <c r="Y103" s="78" t="str">
        <f t="shared" si="29"/>
        <v/>
      </c>
      <c r="Z103" s="21"/>
      <c r="AA103" s="138"/>
      <c r="AB103" s="21"/>
    </row>
    <row r="104" spans="1:28" x14ac:dyDescent="0.25">
      <c r="A104" s="21"/>
      <c r="B104" s="18"/>
      <c r="C104" s="85" t="str">
        <f>IF(B104="","",INDEX(Elements!B:B,MATCH(Design!B104,Elements!A:A,0)))</f>
        <v/>
      </c>
      <c r="D104" s="13"/>
      <c r="E104" s="85" t="str">
        <f>IFERROR(IF(D104="","",INDEX(Elements!J:J,MATCH(Design!D104,Elements!I:I,0))),SUBSTITUTE(D104," ",""))</f>
        <v/>
      </c>
      <c r="F104" s="13"/>
      <c r="G104" s="84" t="str">
        <f>IFERROR(IF(F104="","",INDEX(Elements!L:L,MATCH(Design!F104,Elements!K:K,0))),F104)</f>
        <v/>
      </c>
      <c r="H104" s="14"/>
      <c r="I104" s="14"/>
      <c r="J104" s="63" t="str">
        <f t="shared" ca="1" si="30"/>
        <v>columnHeaders</v>
      </c>
      <c r="K104" s="63">
        <f t="shared" ca="1" si="20"/>
        <v>0</v>
      </c>
      <c r="L104" s="63" t="str">
        <f ca="1">IF(K104="fontFamily","fontFamily",IF(K104="fontSize","fontSize",IFERROR(INDEX(Elements!M:M,MATCH(Design!J104&amp;"|"&amp;Design!K104,Elements!N:N,0)),"")))</f>
        <v/>
      </c>
      <c r="M104" s="65" t="str">
        <f ca="1">IF(OR(L104="",L104="fill"),"",MATCH(IF(L104="enumeration",J104&amp;"|"&amp;G104,Design!L104),Elements!N:N,0))</f>
        <v/>
      </c>
      <c r="N104" s="65" t="str">
        <f t="shared" si="26"/>
        <v/>
      </c>
      <c r="O104" s="65" t="str">
        <f ca="1">"Elements!"&amp;INDEX(Elements!H:H,MATCH(Design!J104,Elements!J:J,0))</f>
        <v>Elements!K36:K44</v>
      </c>
      <c r="P104" s="65" t="str">
        <f t="shared" ca="1" si="33"/>
        <v>"</v>
      </c>
      <c r="Q104" s="75" t="str">
        <f t="shared" si="23"/>
        <v/>
      </c>
      <c r="R104" s="5" t="str">
        <f t="shared" si="24"/>
        <v/>
      </c>
      <c r="S104" s="5" t="str">
        <f t="shared" si="21"/>
        <v/>
      </c>
      <c r="T104" s="76" t="str">
        <f t="shared" si="25"/>
        <v/>
      </c>
      <c r="U104" s="5">
        <f t="shared" si="32"/>
        <v>0</v>
      </c>
      <c r="V104" s="5">
        <f t="shared" si="31"/>
        <v>0</v>
      </c>
      <c r="W104" s="77" t="str">
        <f t="shared" si="27"/>
        <v/>
      </c>
      <c r="X104" s="65" t="str">
        <f t="shared" si="28"/>
        <v/>
      </c>
      <c r="Y104" s="78" t="str">
        <f t="shared" si="29"/>
        <v/>
      </c>
      <c r="Z104" s="21"/>
      <c r="AA104" s="138"/>
      <c r="AB104" s="21"/>
    </row>
    <row r="105" spans="1:28" x14ac:dyDescent="0.25">
      <c r="A105" s="21"/>
      <c r="B105" s="18"/>
      <c r="C105" s="85" t="str">
        <f>IF(B105="","",INDEX(Elements!B:B,MATCH(Design!B105,Elements!A:A,0)))</f>
        <v/>
      </c>
      <c r="D105" s="15"/>
      <c r="E105" s="85" t="str">
        <f>IFERROR(IF(D105="","",INDEX(Elements!J:J,MATCH(Design!D105,Elements!I:I,0))),SUBSTITUTE(D105," ",""))</f>
        <v/>
      </c>
      <c r="F105" s="15"/>
      <c r="G105" s="84" t="str">
        <f>IFERROR(IF(F105="","",INDEX(Elements!L:L,MATCH(Design!F105,Elements!K:K,0))),F105)</f>
        <v/>
      </c>
      <c r="H105" s="12"/>
      <c r="I105" s="14"/>
      <c r="J105" s="63" t="str">
        <f t="shared" ca="1" si="30"/>
        <v>columnHeaders</v>
      </c>
      <c r="K105" s="63">
        <f t="shared" ca="1" si="20"/>
        <v>0</v>
      </c>
      <c r="L105" s="63" t="str">
        <f ca="1">IF(K105="fontFamily","fontFamily",IF(K105="fontSize","fontSize",IFERROR(INDEX(Elements!M:M,MATCH(Design!J105&amp;"|"&amp;Design!K105,Elements!N:N,0)),"")))</f>
        <v/>
      </c>
      <c r="M105" s="65" t="str">
        <f ca="1">IF(OR(L105="",L105="fill"),"",MATCH(IF(L105="enumeration",J105&amp;"|"&amp;G105,Design!L105),Elements!N:N,0))</f>
        <v/>
      </c>
      <c r="N105" s="65" t="str">
        <f t="shared" si="26"/>
        <v/>
      </c>
      <c r="O105" s="65" t="str">
        <f ca="1">"Elements!"&amp;INDEX(Elements!H:H,MATCH(Design!J105,Elements!J:J,0))</f>
        <v>Elements!K36:K44</v>
      </c>
      <c r="P105" s="65" t="str">
        <f t="shared" ca="1" si="33"/>
        <v>"</v>
      </c>
      <c r="Q105" s="75" t="str">
        <f t="shared" si="23"/>
        <v/>
      </c>
      <c r="R105" s="5" t="str">
        <f t="shared" si="24"/>
        <v/>
      </c>
      <c r="S105" s="5" t="str">
        <f t="shared" si="21"/>
        <v/>
      </c>
      <c r="T105" s="76" t="str">
        <f t="shared" si="25"/>
        <v/>
      </c>
      <c r="U105" s="5">
        <f t="shared" si="32"/>
        <v>0</v>
      </c>
      <c r="V105" s="5">
        <f t="shared" si="31"/>
        <v>0</v>
      </c>
      <c r="W105" s="77" t="str">
        <f t="shared" si="27"/>
        <v/>
      </c>
      <c r="X105" s="65" t="str">
        <f t="shared" si="28"/>
        <v/>
      </c>
      <c r="Y105" s="78" t="str">
        <f t="shared" si="29"/>
        <v/>
      </c>
      <c r="Z105" s="21"/>
      <c r="AA105" s="138"/>
      <c r="AB105" s="21"/>
    </row>
    <row r="106" spans="1:28" x14ac:dyDescent="0.25">
      <c r="A106" s="21"/>
      <c r="B106" s="18"/>
      <c r="C106" s="85" t="str">
        <f>IF(B106="","",INDEX(Elements!B:B,MATCH(Design!B106,Elements!A:A,0)))</f>
        <v/>
      </c>
      <c r="D106" s="13"/>
      <c r="E106" s="85" t="str">
        <f>IFERROR(IF(D106="","",INDEX(Elements!J:J,MATCH(Design!D106,Elements!I:I,0))),SUBSTITUTE(D106," ",""))</f>
        <v/>
      </c>
      <c r="F106" s="13"/>
      <c r="G106" s="84" t="str">
        <f>IFERROR(IF(F106="","",INDEX(Elements!L:L,MATCH(Design!F106,Elements!K:K,0))),F106)</f>
        <v/>
      </c>
      <c r="H106" s="14"/>
      <c r="I106" s="14"/>
      <c r="J106" s="63" t="str">
        <f t="shared" ca="1" si="30"/>
        <v>columnHeaders</v>
      </c>
      <c r="K106" s="63">
        <f t="shared" ca="1" si="20"/>
        <v>0</v>
      </c>
      <c r="L106" s="63" t="str">
        <f ca="1">IF(K106="fontFamily","fontFamily",IF(K106="fontSize","fontSize",IFERROR(INDEX(Elements!M:M,MATCH(Design!J106&amp;"|"&amp;Design!K106,Elements!N:N,0)),"")))</f>
        <v/>
      </c>
      <c r="M106" s="65" t="str">
        <f ca="1">IF(OR(L106="",L106="fill"),"",MATCH(IF(L106="enumeration",J106&amp;"|"&amp;G106,Design!L106),Elements!N:N,0))</f>
        <v/>
      </c>
      <c r="N106" s="65" t="str">
        <f t="shared" si="26"/>
        <v/>
      </c>
      <c r="O106" s="65" t="str">
        <f ca="1">"Elements!"&amp;INDEX(Elements!H:H,MATCH(Design!J106,Elements!J:J,0))</f>
        <v>Elements!K36:K44</v>
      </c>
      <c r="P106" s="65" t="str">
        <f t="shared" ca="1" si="33"/>
        <v>"</v>
      </c>
      <c r="Q106" s="75" t="str">
        <f t="shared" si="23"/>
        <v/>
      </c>
      <c r="R106" s="5" t="str">
        <f t="shared" si="24"/>
        <v/>
      </c>
      <c r="S106" s="5" t="str">
        <f t="shared" si="21"/>
        <v/>
      </c>
      <c r="T106" s="76" t="str">
        <f t="shared" si="25"/>
        <v/>
      </c>
      <c r="U106" s="5">
        <f t="shared" si="32"/>
        <v>0</v>
      </c>
      <c r="V106" s="5">
        <f t="shared" si="31"/>
        <v>0</v>
      </c>
      <c r="W106" s="77" t="str">
        <f t="shared" si="27"/>
        <v/>
      </c>
      <c r="X106" s="65" t="str">
        <f t="shared" si="28"/>
        <v/>
      </c>
      <c r="Y106" s="78" t="str">
        <f t="shared" si="29"/>
        <v/>
      </c>
      <c r="Z106" s="21"/>
      <c r="AA106" s="138"/>
      <c r="AB106" s="21"/>
    </row>
    <row r="107" spans="1:28" x14ac:dyDescent="0.25">
      <c r="A107" s="21"/>
      <c r="B107" s="18"/>
      <c r="C107" s="85" t="str">
        <f>IF(B107="","",INDEX(Elements!B:B,MATCH(Design!B107,Elements!A:A,0)))</f>
        <v/>
      </c>
      <c r="D107" s="15"/>
      <c r="E107" s="85" t="str">
        <f>IFERROR(IF(D107="","",INDEX(Elements!J:J,MATCH(Design!D107,Elements!I:I,0))),SUBSTITUTE(D107," ",""))</f>
        <v/>
      </c>
      <c r="F107" s="15"/>
      <c r="G107" s="84" t="str">
        <f>IFERROR(IF(F107="","",INDEX(Elements!L:L,MATCH(Design!F107,Elements!K:K,0))),F107)</f>
        <v/>
      </c>
      <c r="H107" s="12"/>
      <c r="I107" s="14"/>
      <c r="J107" s="63" t="str">
        <f t="shared" ca="1" si="30"/>
        <v>columnHeaders</v>
      </c>
      <c r="K107" s="63">
        <f t="shared" ca="1" si="20"/>
        <v>0</v>
      </c>
      <c r="L107" s="63" t="str">
        <f ca="1">IF(K107="fontFamily","fontFamily",IF(K107="fontSize","fontSize",IFERROR(INDEX(Elements!M:M,MATCH(Design!J107&amp;"|"&amp;Design!K107,Elements!N:N,0)),"")))</f>
        <v/>
      </c>
      <c r="M107" s="65" t="str">
        <f ca="1">IF(OR(L107="",L107="fill"),"",MATCH(IF(L107="enumeration",J107&amp;"|"&amp;G107,Design!L107),Elements!N:N,0))</f>
        <v/>
      </c>
      <c r="N107" s="65" t="str">
        <f t="shared" si="26"/>
        <v/>
      </c>
      <c r="O107" s="65" t="str">
        <f ca="1">"Elements!"&amp;INDEX(Elements!H:H,MATCH(Design!J107,Elements!J:J,0))</f>
        <v>Elements!K36:K44</v>
      </c>
      <c r="P107" s="65" t="str">
        <f t="shared" ca="1" si="33"/>
        <v>"</v>
      </c>
      <c r="Q107" s="75" t="str">
        <f t="shared" si="23"/>
        <v/>
      </c>
      <c r="R107" s="5" t="str">
        <f t="shared" si="24"/>
        <v/>
      </c>
      <c r="S107" s="5" t="str">
        <f t="shared" si="21"/>
        <v/>
      </c>
      <c r="T107" s="76" t="str">
        <f t="shared" si="25"/>
        <v/>
      </c>
      <c r="U107" s="5">
        <f t="shared" si="32"/>
        <v>0</v>
      </c>
      <c r="V107" s="5">
        <f t="shared" si="31"/>
        <v>0</v>
      </c>
      <c r="W107" s="77" t="str">
        <f t="shared" si="27"/>
        <v/>
      </c>
      <c r="X107" s="65" t="str">
        <f t="shared" si="28"/>
        <v/>
      </c>
      <c r="Y107" s="78" t="str">
        <f t="shared" si="29"/>
        <v/>
      </c>
      <c r="Z107" s="21"/>
      <c r="AA107" s="138"/>
      <c r="AB107" s="21"/>
    </row>
    <row r="108" spans="1:28" x14ac:dyDescent="0.25">
      <c r="A108" s="21"/>
      <c r="B108" s="18"/>
      <c r="C108" s="85" t="str">
        <f>IF(B108="","",INDEX(Elements!B:B,MATCH(Design!B108,Elements!A:A,0)))</f>
        <v/>
      </c>
      <c r="D108" s="13"/>
      <c r="E108" s="85" t="str">
        <f>IFERROR(IF(D108="","",INDEX(Elements!J:J,MATCH(Design!D108,Elements!I:I,0))),SUBSTITUTE(D108," ",""))</f>
        <v/>
      </c>
      <c r="F108" s="13"/>
      <c r="G108" s="84" t="str">
        <f>IFERROR(IF(F108="","",INDEX(Elements!L:L,MATCH(Design!F108,Elements!K:K,0))),F108)</f>
        <v/>
      </c>
      <c r="H108" s="14"/>
      <c r="I108" s="14"/>
      <c r="J108" s="63" t="str">
        <f t="shared" ca="1" si="30"/>
        <v>columnHeaders</v>
      </c>
      <c r="K108" s="63">
        <f t="shared" ca="1" si="20"/>
        <v>0</v>
      </c>
      <c r="L108" s="63" t="str">
        <f ca="1">IF(K108="fontFamily","fontFamily",IF(K108="fontSize","fontSize",IFERROR(INDEX(Elements!M:M,MATCH(Design!J108&amp;"|"&amp;Design!K108,Elements!N:N,0)),"")))</f>
        <v/>
      </c>
      <c r="M108" s="65" t="str">
        <f ca="1">IF(OR(L108="",L108="fill"),"",MATCH(IF(L108="enumeration",J108&amp;"|"&amp;G108,Design!L108),Elements!N:N,0))</f>
        <v/>
      </c>
      <c r="N108" s="65" t="str">
        <f t="shared" si="26"/>
        <v/>
      </c>
      <c r="O108" s="65" t="str">
        <f ca="1">"Elements!"&amp;INDEX(Elements!H:H,MATCH(Design!J108,Elements!J:J,0))</f>
        <v>Elements!K36:K44</v>
      </c>
      <c r="P108" s="65" t="str">
        <f t="shared" ca="1" si="33"/>
        <v>"</v>
      </c>
      <c r="Q108" s="75" t="str">
        <f t="shared" si="23"/>
        <v/>
      </c>
      <c r="R108" s="5" t="str">
        <f t="shared" si="24"/>
        <v/>
      </c>
      <c r="S108" s="5" t="str">
        <f t="shared" si="21"/>
        <v/>
      </c>
      <c r="T108" s="76" t="str">
        <f t="shared" si="25"/>
        <v/>
      </c>
      <c r="U108" s="5">
        <f t="shared" si="32"/>
        <v>0</v>
      </c>
      <c r="V108" s="5">
        <f t="shared" si="31"/>
        <v>0</v>
      </c>
      <c r="W108" s="77" t="str">
        <f t="shared" si="27"/>
        <v/>
      </c>
      <c r="X108" s="65" t="str">
        <f t="shared" si="28"/>
        <v/>
      </c>
      <c r="Y108" s="78" t="str">
        <f t="shared" si="29"/>
        <v/>
      </c>
      <c r="Z108" s="21"/>
      <c r="AA108" s="138"/>
      <c r="AB108" s="21"/>
    </row>
    <row r="109" spans="1:28" x14ac:dyDescent="0.25">
      <c r="A109" s="21"/>
      <c r="B109" s="18"/>
      <c r="C109" s="85" t="str">
        <f>IF(B109="","",INDEX(Elements!B:B,MATCH(Design!B109,Elements!A:A,0)))</f>
        <v/>
      </c>
      <c r="D109" s="15"/>
      <c r="E109" s="85" t="str">
        <f>IFERROR(IF(D109="","",INDEX(Elements!J:J,MATCH(Design!D109,Elements!I:I,0))),SUBSTITUTE(D109," ",""))</f>
        <v/>
      </c>
      <c r="F109" s="15"/>
      <c r="G109" s="84" t="str">
        <f>IFERROR(IF(F109="","",INDEX(Elements!L:L,MATCH(Design!F109,Elements!K:K,0))),F109)</f>
        <v/>
      </c>
      <c r="H109" s="12"/>
      <c r="I109" s="14"/>
      <c r="J109" s="63" t="str">
        <f t="shared" ca="1" si="30"/>
        <v>columnHeaders</v>
      </c>
      <c r="K109" s="63">
        <f t="shared" ca="1" si="20"/>
        <v>0</v>
      </c>
      <c r="L109" s="63" t="str">
        <f ca="1">IF(K109="fontFamily","fontFamily",IF(K109="fontSize","fontSize",IFERROR(INDEX(Elements!M:M,MATCH(Design!J109&amp;"|"&amp;Design!K109,Elements!N:N,0)),"")))</f>
        <v/>
      </c>
      <c r="M109" s="65" t="str">
        <f ca="1">IF(OR(L109="",L109="fill"),"",MATCH(IF(L109="enumeration",J109&amp;"|"&amp;G109,Design!L109),Elements!N:N,0))</f>
        <v/>
      </c>
      <c r="N109" s="65" t="str">
        <f t="shared" si="26"/>
        <v/>
      </c>
      <c r="O109" s="65" t="str">
        <f ca="1">"Elements!"&amp;INDEX(Elements!H:H,MATCH(Design!J109,Elements!J:J,0))</f>
        <v>Elements!K36:K44</v>
      </c>
      <c r="P109" s="65" t="str">
        <f t="shared" ca="1" si="33"/>
        <v>"</v>
      </c>
      <c r="Q109" s="75" t="str">
        <f t="shared" si="23"/>
        <v/>
      </c>
      <c r="R109" s="5" t="str">
        <f t="shared" si="24"/>
        <v/>
      </c>
      <c r="S109" s="5" t="str">
        <f t="shared" si="21"/>
        <v/>
      </c>
      <c r="T109" s="76" t="str">
        <f t="shared" si="25"/>
        <v/>
      </c>
      <c r="U109" s="5">
        <f t="shared" si="32"/>
        <v>0</v>
      </c>
      <c r="V109" s="5">
        <f t="shared" si="31"/>
        <v>0</v>
      </c>
      <c r="W109" s="77" t="str">
        <f t="shared" si="27"/>
        <v/>
      </c>
      <c r="X109" s="65" t="str">
        <f t="shared" si="28"/>
        <v/>
      </c>
      <c r="Y109" s="78" t="str">
        <f t="shared" si="29"/>
        <v/>
      </c>
      <c r="Z109" s="21"/>
      <c r="AA109" s="138"/>
      <c r="AB109" s="21"/>
    </row>
    <row r="110" spans="1:28" x14ac:dyDescent="0.25">
      <c r="A110" s="21"/>
      <c r="B110" s="18"/>
      <c r="C110" s="85" t="str">
        <f>IF(B110="","",INDEX(Elements!B:B,MATCH(Design!B110,Elements!A:A,0)))</f>
        <v/>
      </c>
      <c r="D110" s="15"/>
      <c r="E110" s="85" t="str">
        <f>IFERROR(IF(D110="","",INDEX(Elements!J:J,MATCH(Design!D110,Elements!I:I,0))),SUBSTITUTE(D110," ",""))</f>
        <v/>
      </c>
      <c r="F110" s="15"/>
      <c r="G110" s="84" t="str">
        <f>IFERROR(IF(F110="","",INDEX(Elements!L:L,MATCH(Design!F110,Elements!K:K,0))),F110)</f>
        <v/>
      </c>
      <c r="H110" s="12"/>
      <c r="I110" s="14"/>
      <c r="J110" s="63" t="str">
        <f t="shared" ca="1" si="30"/>
        <v>columnHeaders</v>
      </c>
      <c r="K110" s="63">
        <f t="shared" ca="1" si="20"/>
        <v>0</v>
      </c>
      <c r="L110" s="63" t="str">
        <f ca="1">IF(K110="fontFamily","fontFamily",IF(K110="fontSize","fontSize",IFERROR(INDEX(Elements!M:M,MATCH(Design!J110&amp;"|"&amp;Design!K110,Elements!N:N,0)),"")))</f>
        <v/>
      </c>
      <c r="M110" s="65" t="str">
        <f ca="1">IF(OR(L110="",L110="fill"),"",MATCH(IF(L110="enumeration",J110&amp;"|"&amp;G110,Design!L110),Elements!N:N,0))</f>
        <v/>
      </c>
      <c r="N110" s="65" t="str">
        <f t="shared" si="26"/>
        <v/>
      </c>
      <c r="O110" s="65" t="str">
        <f ca="1">"Elements!"&amp;INDEX(Elements!H:H,MATCH(Design!J110,Elements!J:J,0))</f>
        <v>Elements!K36:K44</v>
      </c>
      <c r="P110" s="65" t="str">
        <f t="shared" ca="1" si="33"/>
        <v>"</v>
      </c>
      <c r="Q110" s="75" t="str">
        <f t="shared" si="23"/>
        <v/>
      </c>
      <c r="R110" s="5" t="str">
        <f t="shared" si="24"/>
        <v/>
      </c>
      <c r="S110" s="5" t="str">
        <f t="shared" si="21"/>
        <v/>
      </c>
      <c r="T110" s="76" t="str">
        <f t="shared" si="25"/>
        <v/>
      </c>
      <c r="U110" s="5">
        <f t="shared" si="32"/>
        <v>0</v>
      </c>
      <c r="V110" s="5">
        <f t="shared" si="31"/>
        <v>0</v>
      </c>
      <c r="W110" s="77" t="str">
        <f t="shared" si="27"/>
        <v/>
      </c>
      <c r="X110" s="65" t="str">
        <f t="shared" si="28"/>
        <v/>
      </c>
      <c r="Y110" s="78" t="str">
        <f t="shared" si="29"/>
        <v/>
      </c>
      <c r="Z110" s="21"/>
      <c r="AA110" s="138"/>
      <c r="AB110" s="21"/>
    </row>
    <row r="111" spans="1:28" x14ac:dyDescent="0.25">
      <c r="A111" s="21"/>
      <c r="B111" s="18"/>
      <c r="C111" s="85" t="str">
        <f>IF(B111="","",INDEX(Elements!B:B,MATCH(Design!B111,Elements!A:A,0)))</f>
        <v/>
      </c>
      <c r="D111" s="13"/>
      <c r="E111" s="85" t="str">
        <f>IFERROR(IF(D111="","",INDEX(Elements!J:J,MATCH(Design!D111,Elements!I:I,0))),SUBSTITUTE(D111," ",""))</f>
        <v/>
      </c>
      <c r="F111" s="13"/>
      <c r="G111" s="84" t="str">
        <f>IFERROR(IF(F111="","",INDEX(Elements!L:L,MATCH(Design!F111,Elements!K:K,0))),F111)</f>
        <v/>
      </c>
      <c r="H111" s="14"/>
      <c r="I111" s="14"/>
      <c r="J111" s="63" t="str">
        <f t="shared" ca="1" si="30"/>
        <v>columnHeaders</v>
      </c>
      <c r="K111" s="63">
        <f t="shared" ca="1" si="20"/>
        <v>0</v>
      </c>
      <c r="L111" s="63" t="str">
        <f ca="1">IF(K111="fontFamily","fontFamily",IF(K111="fontSize","fontSize",IFERROR(INDEX(Elements!M:M,MATCH(Design!J111&amp;"|"&amp;Design!K111,Elements!N:N,0)),"")))</f>
        <v/>
      </c>
      <c r="M111" s="65" t="str">
        <f ca="1">IF(OR(L111="",L111="fill"),"",MATCH(IF(L111="enumeration",J111&amp;"|"&amp;G111,Design!L111),Elements!N:N,0))</f>
        <v/>
      </c>
      <c r="N111" s="65" t="str">
        <f t="shared" si="26"/>
        <v/>
      </c>
      <c r="O111" s="65" t="str">
        <f ca="1">"Elements!"&amp;INDEX(Elements!H:H,MATCH(Design!J111,Elements!J:J,0))</f>
        <v>Elements!K36:K44</v>
      </c>
      <c r="P111" s="65" t="str">
        <f t="shared" ca="1" si="33"/>
        <v>"</v>
      </c>
      <c r="Q111" s="75" t="str">
        <f t="shared" si="23"/>
        <v/>
      </c>
      <c r="R111" s="5" t="str">
        <f t="shared" si="24"/>
        <v/>
      </c>
      <c r="S111" s="5" t="str">
        <f t="shared" si="21"/>
        <v/>
      </c>
      <c r="T111" s="76" t="str">
        <f t="shared" si="25"/>
        <v/>
      </c>
      <c r="U111" s="5">
        <f t="shared" si="32"/>
        <v>0</v>
      </c>
      <c r="V111" s="5">
        <f t="shared" si="31"/>
        <v>0</v>
      </c>
      <c r="W111" s="77" t="str">
        <f t="shared" si="27"/>
        <v/>
      </c>
      <c r="X111" s="65" t="str">
        <f t="shared" si="28"/>
        <v/>
      </c>
      <c r="Y111" s="78" t="str">
        <f t="shared" si="29"/>
        <v/>
      </c>
      <c r="Z111" s="21"/>
      <c r="AA111" s="138"/>
      <c r="AB111" s="21"/>
    </row>
    <row r="112" spans="1:28" x14ac:dyDescent="0.25">
      <c r="A112" s="21"/>
      <c r="B112" s="18"/>
      <c r="C112" s="85" t="str">
        <f>IF(B112="","",INDEX(Elements!B:B,MATCH(Design!B112,Elements!A:A,0)))</f>
        <v/>
      </c>
      <c r="D112" s="15"/>
      <c r="E112" s="85" t="str">
        <f>IFERROR(IF(D112="","",INDEX(Elements!J:J,MATCH(Design!D112,Elements!I:I,0))),SUBSTITUTE(D112," ",""))</f>
        <v/>
      </c>
      <c r="F112" s="13"/>
      <c r="G112" s="84" t="str">
        <f>IFERROR(IF(F112="","",INDEX(Elements!L:L,MATCH(Design!F112,Elements!K:K,0))),F112)</f>
        <v/>
      </c>
      <c r="H112" s="12"/>
      <c r="I112" s="14"/>
      <c r="J112" s="63" t="str">
        <f t="shared" ca="1" si="30"/>
        <v>columnHeaders</v>
      </c>
      <c r="K112" s="63">
        <f t="shared" ca="1" si="20"/>
        <v>0</v>
      </c>
      <c r="L112" s="63" t="str">
        <f ca="1">IF(K112="fontFamily","fontFamily",IF(K112="fontSize","fontSize",IFERROR(INDEX(Elements!M:M,MATCH(Design!J112&amp;"|"&amp;Design!K112,Elements!N:N,0)),"")))</f>
        <v/>
      </c>
      <c r="M112" s="65" t="str">
        <f ca="1">IF(OR(L112="",L112="fill"),"",MATCH(IF(L112="enumeration",J112&amp;"|"&amp;G112,Design!L112),Elements!N:N,0))</f>
        <v/>
      </c>
      <c r="N112" s="65" t="str">
        <f t="shared" si="26"/>
        <v/>
      </c>
      <c r="O112" s="65" t="str">
        <f ca="1">"Elements!"&amp;INDEX(Elements!H:H,MATCH(Design!J112,Elements!J:J,0))</f>
        <v>Elements!K36:K44</v>
      </c>
      <c r="P112" s="65" t="str">
        <f t="shared" ca="1" si="33"/>
        <v>"</v>
      </c>
      <c r="Q112" s="75" t="str">
        <f t="shared" si="23"/>
        <v/>
      </c>
      <c r="R112" s="5" t="str">
        <f t="shared" si="24"/>
        <v/>
      </c>
      <c r="S112" s="5" t="str">
        <f t="shared" si="21"/>
        <v/>
      </c>
      <c r="T112" s="76" t="str">
        <f t="shared" si="25"/>
        <v/>
      </c>
      <c r="U112" s="5">
        <f t="shared" si="32"/>
        <v>0</v>
      </c>
      <c r="V112" s="5">
        <f t="shared" si="31"/>
        <v>0</v>
      </c>
      <c r="W112" s="77" t="str">
        <f t="shared" si="27"/>
        <v/>
      </c>
      <c r="X112" s="65" t="str">
        <f t="shared" si="28"/>
        <v/>
      </c>
      <c r="Y112" s="78" t="str">
        <f t="shared" si="29"/>
        <v/>
      </c>
      <c r="Z112" s="21"/>
      <c r="AA112" s="138"/>
      <c r="AB112" s="21"/>
    </row>
    <row r="113" spans="1:28" x14ac:dyDescent="0.25">
      <c r="A113" s="21"/>
      <c r="B113" s="18"/>
      <c r="C113" s="85" t="str">
        <f>IF(B113="","",INDEX(Elements!B:B,MATCH(Design!B113,Elements!A:A,0)))</f>
        <v/>
      </c>
      <c r="D113" s="13"/>
      <c r="E113" s="85" t="str">
        <f>IFERROR(IF(D113="","",INDEX(Elements!J:J,MATCH(Design!D113,Elements!I:I,0))),SUBSTITUTE(D113," ",""))</f>
        <v/>
      </c>
      <c r="F113" s="13"/>
      <c r="G113" s="84" t="str">
        <f>IFERROR(IF(F113="","",INDEX(Elements!L:L,MATCH(Design!F113,Elements!K:K,0))),F113)</f>
        <v/>
      </c>
      <c r="H113" s="14"/>
      <c r="I113" s="14"/>
      <c r="J113" s="63" t="str">
        <f t="shared" ca="1" si="30"/>
        <v>columnHeaders</v>
      </c>
      <c r="K113" s="63">
        <f t="shared" ca="1" si="20"/>
        <v>0</v>
      </c>
      <c r="L113" s="63" t="str">
        <f ca="1">IF(K113="fontFamily","fontFamily",IF(K113="fontSize","fontSize",IFERROR(INDEX(Elements!M:M,MATCH(Design!J113&amp;"|"&amp;Design!K113,Elements!N:N,0)),"")))</f>
        <v/>
      </c>
      <c r="M113" s="65" t="str">
        <f ca="1">IF(OR(L113="",L113="fill"),"",MATCH(IF(L113="enumeration",J113&amp;"|"&amp;G113,Design!L113),Elements!N:N,0))</f>
        <v/>
      </c>
      <c r="N113" s="65" t="str">
        <f t="shared" si="26"/>
        <v/>
      </c>
      <c r="O113" s="65" t="str">
        <f ca="1">"Elements!"&amp;INDEX(Elements!H:H,MATCH(Design!J113,Elements!J:J,0))</f>
        <v>Elements!K36:K44</v>
      </c>
      <c r="P113" s="65" t="str">
        <f t="shared" ca="1" si="33"/>
        <v>"</v>
      </c>
      <c r="Q113" s="75" t="str">
        <f t="shared" si="23"/>
        <v/>
      </c>
      <c r="R113" s="5" t="str">
        <f t="shared" si="24"/>
        <v/>
      </c>
      <c r="S113" s="5" t="str">
        <f t="shared" si="21"/>
        <v/>
      </c>
      <c r="T113" s="76" t="str">
        <f t="shared" si="25"/>
        <v/>
      </c>
      <c r="U113" s="5">
        <f t="shared" si="32"/>
        <v>0</v>
      </c>
      <c r="V113" s="5">
        <f t="shared" si="31"/>
        <v>0</v>
      </c>
      <c r="W113" s="77" t="str">
        <f t="shared" si="27"/>
        <v/>
      </c>
      <c r="X113" s="65" t="str">
        <f t="shared" si="28"/>
        <v/>
      </c>
      <c r="Y113" s="78" t="str">
        <f t="shared" si="29"/>
        <v/>
      </c>
      <c r="Z113" s="21"/>
      <c r="AA113" s="138"/>
      <c r="AB113" s="21"/>
    </row>
    <row r="114" spans="1:28" x14ac:dyDescent="0.25">
      <c r="A114" s="21"/>
      <c r="B114" s="18"/>
      <c r="C114" s="85" t="str">
        <f>IF(B114="","",INDEX(Elements!B:B,MATCH(Design!B114,Elements!A:A,0)))</f>
        <v/>
      </c>
      <c r="D114" s="15"/>
      <c r="E114" s="85" t="str">
        <f>IFERROR(IF(D114="","",INDEX(Elements!J:J,MATCH(Design!D114,Elements!I:I,0))),SUBSTITUTE(D114," ",""))</f>
        <v/>
      </c>
      <c r="F114" s="15"/>
      <c r="G114" s="84" t="str">
        <f>IFERROR(IF(F114="","",INDEX(Elements!L:L,MATCH(Design!F114,Elements!K:K,0))),F114)</f>
        <v/>
      </c>
      <c r="H114" s="12"/>
      <c r="I114" s="14"/>
      <c r="J114" s="63" t="str">
        <f t="shared" ca="1" si="30"/>
        <v>columnHeaders</v>
      </c>
      <c r="K114" s="63">
        <f t="shared" ca="1" si="20"/>
        <v>0</v>
      </c>
      <c r="L114" s="63" t="str">
        <f ca="1">IF(K114="fontFamily","fontFamily",IF(K114="fontSize","fontSize",IFERROR(INDEX(Elements!M:M,MATCH(Design!J114&amp;"|"&amp;Design!K114,Elements!N:N,0)),"")))</f>
        <v/>
      </c>
      <c r="M114" s="65" t="str">
        <f ca="1">IF(OR(L114="",L114="fill"),"",MATCH(IF(L114="enumeration",J114&amp;"|"&amp;G114,Design!L114),Elements!N:N,0))</f>
        <v/>
      </c>
      <c r="N114" s="65" t="str">
        <f t="shared" si="26"/>
        <v/>
      </c>
      <c r="O114" s="65" t="str">
        <f ca="1">"Elements!"&amp;INDEX(Elements!H:H,MATCH(Design!J114,Elements!J:J,0))</f>
        <v>Elements!K36:K44</v>
      </c>
      <c r="P114" s="65" t="str">
        <f t="shared" ca="1" si="33"/>
        <v>"</v>
      </c>
      <c r="Q114" s="75" t="str">
        <f t="shared" si="23"/>
        <v/>
      </c>
      <c r="R114" s="5" t="str">
        <f t="shared" si="24"/>
        <v/>
      </c>
      <c r="S114" s="5" t="str">
        <f t="shared" si="21"/>
        <v/>
      </c>
      <c r="T114" s="76" t="str">
        <f t="shared" si="25"/>
        <v/>
      </c>
      <c r="U114" s="5">
        <f t="shared" si="32"/>
        <v>0</v>
      </c>
      <c r="V114" s="5">
        <f t="shared" si="31"/>
        <v>0</v>
      </c>
      <c r="W114" s="77" t="str">
        <f t="shared" si="27"/>
        <v/>
      </c>
      <c r="X114" s="65" t="str">
        <f t="shared" si="28"/>
        <v/>
      </c>
      <c r="Y114" s="78" t="str">
        <f t="shared" si="29"/>
        <v/>
      </c>
      <c r="Z114" s="21"/>
      <c r="AA114" s="138"/>
      <c r="AB114" s="21"/>
    </row>
    <row r="115" spans="1:28" x14ac:dyDescent="0.25">
      <c r="A115" s="21"/>
      <c r="B115" s="18"/>
      <c r="C115" s="85" t="str">
        <f>IF(B115="","",INDEX(Elements!B:B,MATCH(Design!B115,Elements!A:A,0)))</f>
        <v/>
      </c>
      <c r="D115" s="15"/>
      <c r="E115" s="85" t="str">
        <f>IFERROR(IF(D115="","",INDEX(Elements!J:J,MATCH(Design!D115,Elements!I:I,0))),SUBSTITUTE(D115," ",""))</f>
        <v/>
      </c>
      <c r="F115" s="15"/>
      <c r="G115" s="84" t="str">
        <f>IFERROR(IF(F115="","",INDEX(Elements!L:L,MATCH(Design!F115,Elements!K:K,0))),F115)</f>
        <v/>
      </c>
      <c r="H115" s="12"/>
      <c r="I115" s="14"/>
      <c r="J115" s="63" t="str">
        <f t="shared" ca="1" si="30"/>
        <v>columnHeaders</v>
      </c>
      <c r="K115" s="63">
        <f t="shared" ca="1" si="20"/>
        <v>0</v>
      </c>
      <c r="L115" s="63" t="str">
        <f ca="1">IF(K115="fontFamily","fontFamily",IF(K115="fontSize","fontSize",IFERROR(INDEX(Elements!M:M,MATCH(Design!J115&amp;"|"&amp;Design!K115,Elements!N:N,0)),"")))</f>
        <v/>
      </c>
      <c r="M115" s="65" t="str">
        <f ca="1">IF(OR(L115="",L115="fill"),"",MATCH(IF(L115="enumeration",J115&amp;"|"&amp;G115,Design!L115),Elements!N:N,0))</f>
        <v/>
      </c>
      <c r="N115" s="65" t="str">
        <f t="shared" si="26"/>
        <v/>
      </c>
      <c r="O115" s="65" t="str">
        <f ca="1">"Elements!"&amp;INDEX(Elements!H:H,MATCH(Design!J115,Elements!J:J,0))</f>
        <v>Elements!K36:K44</v>
      </c>
      <c r="P115" s="65" t="str">
        <f t="shared" ca="1" si="33"/>
        <v>"</v>
      </c>
      <c r="Q115" s="75" t="str">
        <f t="shared" si="23"/>
        <v/>
      </c>
      <c r="R115" s="5" t="str">
        <f t="shared" si="24"/>
        <v/>
      </c>
      <c r="S115" s="5" t="str">
        <f t="shared" si="21"/>
        <v/>
      </c>
      <c r="T115" s="76" t="str">
        <f t="shared" si="25"/>
        <v/>
      </c>
      <c r="U115" s="5">
        <f t="shared" si="32"/>
        <v>0</v>
      </c>
      <c r="V115" s="5">
        <f t="shared" si="31"/>
        <v>0</v>
      </c>
      <c r="W115" s="77" t="str">
        <f t="shared" si="27"/>
        <v/>
      </c>
      <c r="X115" s="65" t="str">
        <f t="shared" si="28"/>
        <v/>
      </c>
      <c r="Y115" s="78" t="str">
        <f t="shared" si="29"/>
        <v/>
      </c>
      <c r="Z115" s="21"/>
      <c r="AA115" s="138"/>
      <c r="AB115" s="21"/>
    </row>
    <row r="116" spans="1:28" x14ac:dyDescent="0.25">
      <c r="A116" s="21"/>
      <c r="B116" s="18"/>
      <c r="C116" s="85" t="str">
        <f>IF(B116="","",INDEX(Elements!B:B,MATCH(Design!B116,Elements!A:A,0)))</f>
        <v/>
      </c>
      <c r="D116" s="13"/>
      <c r="E116" s="85" t="str">
        <f>IFERROR(IF(D116="","",INDEX(Elements!J:J,MATCH(Design!D116,Elements!I:I,0))),SUBSTITUTE(D116," ",""))</f>
        <v/>
      </c>
      <c r="F116" s="13"/>
      <c r="G116" s="84" t="str">
        <f>IFERROR(IF(F116="","",INDEX(Elements!L:L,MATCH(Design!F116,Elements!K:K,0))),F116)</f>
        <v/>
      </c>
      <c r="H116" s="14"/>
      <c r="I116" s="14"/>
      <c r="J116" s="63" t="str">
        <f t="shared" ca="1" si="30"/>
        <v>columnHeaders</v>
      </c>
      <c r="K116" s="63">
        <f t="shared" ca="1" si="20"/>
        <v>0</v>
      </c>
      <c r="L116" s="63" t="str">
        <f ca="1">IF(K116="fontFamily","fontFamily",IF(K116="fontSize","fontSize",IFERROR(INDEX(Elements!M:M,MATCH(Design!J116&amp;"|"&amp;Design!K116,Elements!N:N,0)),"")))</f>
        <v/>
      </c>
      <c r="M116" s="65" t="str">
        <f ca="1">IF(OR(L116="",L116="fill"),"",MATCH(IF(L116="enumeration",J116&amp;"|"&amp;G116,Design!L116),Elements!N:N,0))</f>
        <v/>
      </c>
      <c r="N116" s="65" t="str">
        <f t="shared" si="26"/>
        <v/>
      </c>
      <c r="O116" s="65" t="str">
        <f ca="1">"Elements!"&amp;INDEX(Elements!H:H,MATCH(Design!J116,Elements!J:J,0))</f>
        <v>Elements!K36:K44</v>
      </c>
      <c r="P116" s="65" t="str">
        <f t="shared" ca="1" si="33"/>
        <v>"</v>
      </c>
      <c r="Q116" s="75" t="str">
        <f t="shared" si="23"/>
        <v/>
      </c>
      <c r="R116" s="5" t="str">
        <f t="shared" si="24"/>
        <v/>
      </c>
      <c r="S116" s="5" t="str">
        <f t="shared" si="21"/>
        <v/>
      </c>
      <c r="T116" s="76" t="str">
        <f t="shared" si="25"/>
        <v/>
      </c>
      <c r="U116" s="5">
        <f t="shared" si="32"/>
        <v>0</v>
      </c>
      <c r="V116" s="5">
        <f t="shared" si="31"/>
        <v>0</v>
      </c>
      <c r="W116" s="77" t="str">
        <f t="shared" si="27"/>
        <v/>
      </c>
      <c r="X116" s="65" t="str">
        <f t="shared" si="28"/>
        <v/>
      </c>
      <c r="Y116" s="78" t="str">
        <f t="shared" si="29"/>
        <v/>
      </c>
      <c r="Z116" s="21"/>
      <c r="AA116" s="138"/>
      <c r="AB116" s="21"/>
    </row>
    <row r="117" spans="1:28" x14ac:dyDescent="0.25">
      <c r="A117" s="21"/>
      <c r="B117" s="18"/>
      <c r="C117" s="85" t="str">
        <f>IF(B117="","",INDEX(Elements!B:B,MATCH(Design!B117,Elements!A:A,0)))</f>
        <v/>
      </c>
      <c r="D117" s="13"/>
      <c r="E117" s="85" t="str">
        <f>IFERROR(IF(D117="","",INDEX(Elements!J:J,MATCH(Design!D117,Elements!I:I,0))),SUBSTITUTE(D117," ",""))</f>
        <v/>
      </c>
      <c r="F117" s="13"/>
      <c r="G117" s="84" t="str">
        <f>IFERROR(IF(F117="","",INDEX(Elements!L:L,MATCH(Design!F117,Elements!K:K,0))),F117)</f>
        <v/>
      </c>
      <c r="H117" s="14"/>
      <c r="I117" s="14"/>
      <c r="J117" s="63" t="str">
        <f t="shared" ca="1" si="30"/>
        <v>columnHeaders</v>
      </c>
      <c r="K117" s="63">
        <f t="shared" ca="1" si="20"/>
        <v>0</v>
      </c>
      <c r="L117" s="63" t="str">
        <f ca="1">IF(K117="fontFamily","fontFamily",IF(K117="fontSize","fontSize",IFERROR(INDEX(Elements!M:M,MATCH(Design!J117&amp;"|"&amp;Design!K117,Elements!N:N,0)),"")))</f>
        <v/>
      </c>
      <c r="M117" s="65" t="str">
        <f ca="1">IF(OR(L117="",L117="fill"),"",MATCH(IF(L117="enumeration",J117&amp;"|"&amp;G117,Design!L117),Elements!N:N,0))</f>
        <v/>
      </c>
      <c r="N117" s="65" t="str">
        <f t="shared" si="26"/>
        <v/>
      </c>
      <c r="O117" s="65" t="str">
        <f ca="1">"Elements!"&amp;INDEX(Elements!H:H,MATCH(Design!J117,Elements!J:J,0))</f>
        <v>Elements!K36:K44</v>
      </c>
      <c r="P117" s="65" t="str">
        <f t="shared" ca="1" si="33"/>
        <v>"</v>
      </c>
      <c r="Q117" s="75" t="str">
        <f t="shared" si="23"/>
        <v/>
      </c>
      <c r="R117" s="5" t="str">
        <f t="shared" si="24"/>
        <v/>
      </c>
      <c r="S117" s="5" t="str">
        <f t="shared" si="21"/>
        <v/>
      </c>
      <c r="T117" s="76" t="str">
        <f t="shared" si="25"/>
        <v/>
      </c>
      <c r="U117" s="5">
        <f t="shared" si="32"/>
        <v>0</v>
      </c>
      <c r="V117" s="5">
        <f t="shared" si="31"/>
        <v>0</v>
      </c>
      <c r="W117" s="77" t="str">
        <f t="shared" si="27"/>
        <v/>
      </c>
      <c r="X117" s="65" t="str">
        <f t="shared" si="28"/>
        <v/>
      </c>
      <c r="Y117" s="78" t="str">
        <f t="shared" si="29"/>
        <v/>
      </c>
      <c r="Z117" s="21"/>
      <c r="AA117" s="138"/>
      <c r="AB117" s="21"/>
    </row>
    <row r="118" spans="1:28" x14ac:dyDescent="0.25">
      <c r="A118" s="21"/>
      <c r="B118" s="18"/>
      <c r="C118" s="85" t="str">
        <f>IF(B118="","",INDEX(Elements!B:B,MATCH(Design!B118,Elements!A:A,0)))</f>
        <v/>
      </c>
      <c r="D118" s="15"/>
      <c r="E118" s="85" t="str">
        <f>IFERROR(IF(D118="","",INDEX(Elements!J:J,MATCH(Design!D118,Elements!I:I,0))),SUBSTITUTE(D118," ",""))</f>
        <v/>
      </c>
      <c r="F118" s="15"/>
      <c r="G118" s="84" t="str">
        <f>IFERROR(IF(F118="","",INDEX(Elements!L:L,MATCH(Design!F118,Elements!K:K,0))),F118)</f>
        <v/>
      </c>
      <c r="H118" s="12"/>
      <c r="I118" s="14"/>
      <c r="J118" s="63" t="str">
        <f t="shared" ca="1" si="30"/>
        <v>columnHeaders</v>
      </c>
      <c r="K118" s="63">
        <f t="shared" ca="1" si="20"/>
        <v>0</v>
      </c>
      <c r="L118" s="63" t="str">
        <f ca="1">IF(K118="fontFamily","fontFamily",IF(K118="fontSize","fontSize",IFERROR(INDEX(Elements!M:M,MATCH(Design!J118&amp;"|"&amp;Design!K118,Elements!N:N,0)),"")))</f>
        <v/>
      </c>
      <c r="M118" s="65" t="str">
        <f ca="1">IF(OR(L118="",L118="fill"),"",MATCH(IF(L118="enumeration",J118&amp;"|"&amp;G118,Design!L118),Elements!N:N,0))</f>
        <v/>
      </c>
      <c r="N118" s="65" t="str">
        <f t="shared" si="26"/>
        <v/>
      </c>
      <c r="O118" s="65" t="str">
        <f ca="1">"Elements!"&amp;INDEX(Elements!H:H,MATCH(Design!J118,Elements!J:J,0))</f>
        <v>Elements!K36:K44</v>
      </c>
      <c r="P118" s="65" t="str">
        <f t="shared" ca="1" si="33"/>
        <v>"</v>
      </c>
      <c r="Q118" s="75" t="str">
        <f t="shared" si="23"/>
        <v/>
      </c>
      <c r="R118" s="5" t="str">
        <f t="shared" si="24"/>
        <v/>
      </c>
      <c r="S118" s="5" t="str">
        <f t="shared" si="21"/>
        <v/>
      </c>
      <c r="T118" s="76" t="str">
        <f t="shared" si="25"/>
        <v/>
      </c>
      <c r="U118" s="5">
        <f t="shared" si="32"/>
        <v>0</v>
      </c>
      <c r="V118" s="5">
        <f t="shared" si="31"/>
        <v>0</v>
      </c>
      <c r="W118" s="77" t="str">
        <f t="shared" si="27"/>
        <v/>
      </c>
      <c r="X118" s="65" t="str">
        <f t="shared" si="28"/>
        <v/>
      </c>
      <c r="Y118" s="78" t="str">
        <f t="shared" si="29"/>
        <v/>
      </c>
      <c r="Z118" s="21"/>
      <c r="AA118" s="138"/>
      <c r="AB118" s="21"/>
    </row>
    <row r="119" spans="1:28" x14ac:dyDescent="0.25">
      <c r="A119" s="21"/>
      <c r="B119" s="18"/>
      <c r="C119" s="85" t="str">
        <f>IF(B119="","",INDEX(Elements!B:B,MATCH(Design!B119,Elements!A:A,0)))</f>
        <v/>
      </c>
      <c r="D119" s="13"/>
      <c r="E119" s="85" t="str">
        <f>IFERROR(IF(D119="","",INDEX(Elements!J:J,MATCH(Design!D119,Elements!I:I,0))),SUBSTITUTE(D119," ",""))</f>
        <v/>
      </c>
      <c r="F119" s="13"/>
      <c r="G119" s="84" t="str">
        <f>IFERROR(IF(F119="","",INDEX(Elements!L:L,MATCH(Design!F119,Elements!K:K,0))),F119)</f>
        <v/>
      </c>
      <c r="H119" s="12"/>
      <c r="I119" s="14"/>
      <c r="J119" s="63" t="str">
        <f t="shared" ca="1" si="30"/>
        <v>columnHeaders</v>
      </c>
      <c r="K119" s="63">
        <f t="shared" ca="1" si="20"/>
        <v>0</v>
      </c>
      <c r="L119" s="63" t="str">
        <f ca="1">IF(K119="fontFamily","fontFamily",IF(K119="fontSize","fontSize",IFERROR(INDEX(Elements!M:M,MATCH(Design!J119&amp;"|"&amp;Design!K119,Elements!N:N,0)),"")))</f>
        <v/>
      </c>
      <c r="M119" s="65" t="str">
        <f ca="1">IF(OR(L119="",L119="fill"),"",MATCH(IF(L119="enumeration",J119&amp;"|"&amp;G119,Design!L119),Elements!N:N,0))</f>
        <v/>
      </c>
      <c r="N119" s="65" t="str">
        <f t="shared" si="26"/>
        <v/>
      </c>
      <c r="O119" s="65" t="str">
        <f ca="1">"Elements!"&amp;INDEX(Elements!H:H,MATCH(Design!J119,Elements!J:J,0))</f>
        <v>Elements!K36:K44</v>
      </c>
      <c r="P119" s="65" t="str">
        <f t="shared" ca="1" si="33"/>
        <v>"</v>
      </c>
      <c r="Q119" s="75" t="str">
        <f t="shared" si="23"/>
        <v/>
      </c>
      <c r="R119" s="5" t="str">
        <f t="shared" si="24"/>
        <v/>
      </c>
      <c r="S119" s="5" t="str">
        <f t="shared" si="21"/>
        <v/>
      </c>
      <c r="T119" s="76" t="str">
        <f t="shared" si="25"/>
        <v/>
      </c>
      <c r="U119" s="5">
        <f t="shared" si="32"/>
        <v>0</v>
      </c>
      <c r="V119" s="5">
        <f t="shared" si="31"/>
        <v>0</v>
      </c>
      <c r="W119" s="77" t="str">
        <f t="shared" si="27"/>
        <v/>
      </c>
      <c r="X119" s="65" t="str">
        <f t="shared" si="28"/>
        <v/>
      </c>
      <c r="Y119" s="78" t="str">
        <f t="shared" si="29"/>
        <v/>
      </c>
      <c r="Z119" s="21"/>
      <c r="AA119" s="138"/>
      <c r="AB119" s="21"/>
    </row>
    <row r="120" spans="1:28" x14ac:dyDescent="0.25">
      <c r="A120" s="21"/>
      <c r="B120" s="18"/>
      <c r="C120" s="85" t="str">
        <f>IF(B120="","",INDEX(Elements!B:B,MATCH(Design!B120,Elements!A:A,0)))</f>
        <v/>
      </c>
      <c r="D120" s="13"/>
      <c r="E120" s="85" t="str">
        <f>IFERROR(IF(D120="","",INDEX(Elements!J:J,MATCH(Design!D120,Elements!I:I,0))),SUBSTITUTE(D120," ",""))</f>
        <v/>
      </c>
      <c r="F120" s="13"/>
      <c r="G120" s="84" t="str">
        <f>IFERROR(IF(F120="","",INDEX(Elements!L:L,MATCH(Design!F120,Elements!K:K,0))),F120)</f>
        <v/>
      </c>
      <c r="H120" s="12"/>
      <c r="I120" s="14"/>
      <c r="J120" s="63" t="str">
        <f t="shared" ca="1" si="30"/>
        <v>columnHeaders</v>
      </c>
      <c r="K120" s="63">
        <f t="shared" ca="1" si="20"/>
        <v>0</v>
      </c>
      <c r="L120" s="63" t="str">
        <f ca="1">IF(K120="fontFamily","fontFamily",IF(K120="fontSize","fontSize",IFERROR(INDEX(Elements!M:M,MATCH(Design!J120&amp;"|"&amp;Design!K120,Elements!N:N,0)),"")))</f>
        <v/>
      </c>
      <c r="M120" s="65" t="str">
        <f ca="1">IF(OR(L120="",L120="fill"),"",MATCH(IF(L120="enumeration",J120&amp;"|"&amp;G120,Design!L120),Elements!N:N,0))</f>
        <v/>
      </c>
      <c r="N120" s="65" t="str">
        <f t="shared" si="26"/>
        <v/>
      </c>
      <c r="O120" s="65" t="str">
        <f ca="1">"Elements!"&amp;INDEX(Elements!H:H,MATCH(Design!J120,Elements!J:J,0))</f>
        <v>Elements!K36:K44</v>
      </c>
      <c r="P120" s="65" t="str">
        <f t="shared" ca="1" si="33"/>
        <v>"</v>
      </c>
      <c r="Q120" s="75" t="str">
        <f t="shared" si="23"/>
        <v/>
      </c>
      <c r="R120" s="5" t="str">
        <f t="shared" si="24"/>
        <v/>
      </c>
      <c r="S120" s="5" t="str">
        <f t="shared" si="21"/>
        <v/>
      </c>
      <c r="T120" s="76" t="str">
        <f t="shared" si="25"/>
        <v/>
      </c>
      <c r="U120" s="5">
        <f t="shared" si="32"/>
        <v>0</v>
      </c>
      <c r="V120" s="5">
        <f t="shared" si="31"/>
        <v>0</v>
      </c>
      <c r="W120" s="77" t="str">
        <f t="shared" si="27"/>
        <v/>
      </c>
      <c r="X120" s="65" t="str">
        <f t="shared" si="28"/>
        <v/>
      </c>
      <c r="Y120" s="78" t="str">
        <f t="shared" si="29"/>
        <v/>
      </c>
      <c r="Z120" s="21"/>
      <c r="AA120" s="138"/>
      <c r="AB120" s="21"/>
    </row>
    <row r="121" spans="1:28" x14ac:dyDescent="0.25">
      <c r="A121" s="21"/>
      <c r="B121" s="18"/>
      <c r="C121" s="85" t="str">
        <f>IF(B121="","",INDEX(Elements!B:B,MATCH(Design!B121,Elements!A:A,0)))</f>
        <v/>
      </c>
      <c r="D121" s="13"/>
      <c r="E121" s="85" t="str">
        <f>IFERROR(IF(D121="","",INDEX(Elements!J:J,MATCH(Design!D121,Elements!I:I,0))),SUBSTITUTE(D121," ",""))</f>
        <v/>
      </c>
      <c r="F121" s="13"/>
      <c r="G121" s="84" t="str">
        <f>IFERROR(IF(F121="","",INDEX(Elements!L:L,MATCH(Design!F121,Elements!K:K,0))),F121)</f>
        <v/>
      </c>
      <c r="H121" s="12"/>
      <c r="I121" s="14"/>
      <c r="J121" s="63" t="str">
        <f t="shared" ca="1" si="30"/>
        <v>columnHeaders</v>
      </c>
      <c r="K121" s="63">
        <f t="shared" ca="1" si="20"/>
        <v>0</v>
      </c>
      <c r="L121" s="63" t="str">
        <f ca="1">IF(K121="fontFamily","fontFamily",IF(K121="fontSize","fontSize",IFERROR(INDEX(Elements!M:M,MATCH(Design!J121&amp;"|"&amp;Design!K121,Elements!N:N,0)),"")))</f>
        <v/>
      </c>
      <c r="M121" s="65" t="str">
        <f ca="1">IF(OR(L121="",L121="fill"),"",MATCH(IF(L121="enumeration",J121&amp;"|"&amp;G121,Design!L121),Elements!N:N,0))</f>
        <v/>
      </c>
      <c r="N121" s="65" t="str">
        <f t="shared" si="26"/>
        <v/>
      </c>
      <c r="O121" s="65" t="str">
        <f ca="1">"Elements!"&amp;INDEX(Elements!H:H,MATCH(Design!J121,Elements!J:J,0))</f>
        <v>Elements!K36:K44</v>
      </c>
      <c r="P121" s="65" t="str">
        <f t="shared" ca="1" si="33"/>
        <v>"</v>
      </c>
      <c r="Q121" s="75" t="str">
        <f t="shared" si="23"/>
        <v/>
      </c>
      <c r="R121" s="5" t="str">
        <f t="shared" si="24"/>
        <v/>
      </c>
      <c r="S121" s="5" t="str">
        <f t="shared" si="21"/>
        <v/>
      </c>
      <c r="T121" s="76" t="str">
        <f t="shared" si="25"/>
        <v/>
      </c>
      <c r="U121" s="5">
        <f t="shared" si="32"/>
        <v>0</v>
      </c>
      <c r="V121" s="5">
        <f t="shared" si="31"/>
        <v>0</v>
      </c>
      <c r="W121" s="77" t="str">
        <f t="shared" si="27"/>
        <v/>
      </c>
      <c r="X121" s="65" t="str">
        <f t="shared" si="28"/>
        <v/>
      </c>
      <c r="Y121" s="78" t="str">
        <f t="shared" si="29"/>
        <v/>
      </c>
      <c r="Z121" s="21"/>
      <c r="AA121" s="138"/>
      <c r="AB121" s="21"/>
    </row>
    <row r="122" spans="1:28" x14ac:dyDescent="0.25">
      <c r="A122" s="21"/>
      <c r="B122" s="18"/>
      <c r="C122" s="85" t="str">
        <f>IF(B122="","",INDEX(Elements!B:B,MATCH(Design!B122,Elements!A:A,0)))</f>
        <v/>
      </c>
      <c r="D122" s="13"/>
      <c r="E122" s="85" t="str">
        <f>IFERROR(IF(D122="","",INDEX(Elements!J:J,MATCH(Design!D122,Elements!I:I,0))),SUBSTITUTE(D122," ",""))</f>
        <v/>
      </c>
      <c r="F122" s="13"/>
      <c r="G122" s="84" t="str">
        <f>IFERROR(IF(F122="","",INDEX(Elements!L:L,MATCH(Design!F122,Elements!K:K,0))),F122)</f>
        <v/>
      </c>
      <c r="H122" s="12"/>
      <c r="I122" s="14"/>
      <c r="J122" s="63" t="str">
        <f t="shared" ca="1" si="30"/>
        <v>columnHeaders</v>
      </c>
      <c r="K122" s="63">
        <f t="shared" ref="K122:K185" ca="1" si="34">IFERROR(IF(G122="",INDIRECT("I"&amp;ROW()-1),G122),"")</f>
        <v>0</v>
      </c>
      <c r="L122" s="63" t="str">
        <f ca="1">IF(K122="fontFamily","fontFamily",IF(K122="fontSize","fontSize",IFERROR(INDEX(Elements!M:M,MATCH(Design!J122&amp;"|"&amp;Design!K122,Elements!N:N,0)),"")))</f>
        <v/>
      </c>
      <c r="M122" s="65" t="str">
        <f ca="1">IF(OR(L122="",L122="fill"),"",MATCH(IF(L122="enumeration",J122&amp;"|"&amp;G122,Design!L122),Elements!N:N,0))</f>
        <v/>
      </c>
      <c r="N122" s="65" t="str">
        <f t="shared" si="26"/>
        <v/>
      </c>
      <c r="O122" s="65" t="str">
        <f ca="1">"Elements!"&amp;INDEX(Elements!H:H,MATCH(Design!J122,Elements!J:J,0))</f>
        <v>Elements!K36:K44</v>
      </c>
      <c r="P122" s="65" t="str">
        <f t="shared" ca="1" si="33"/>
        <v>"</v>
      </c>
      <c r="Q122" s="75" t="str">
        <f t="shared" si="23"/>
        <v/>
      </c>
      <c r="R122" s="5" t="str">
        <f t="shared" si="24"/>
        <v/>
      </c>
      <c r="S122" s="5" t="str">
        <f t="shared" ref="S122:S185" si="35">IF(G122="","",IF(G121&lt;&gt;"",",","")&amp;"{"&amp;CHAR(34)&amp;G122&amp;CHAR(34)&amp;":"&amp;P122&amp;H122&amp;I122&amp;P122&amp;"}")</f>
        <v/>
      </c>
      <c r="T122" s="76" t="str">
        <f t="shared" si="25"/>
        <v/>
      </c>
      <c r="U122" s="5">
        <f t="shared" si="32"/>
        <v>0</v>
      </c>
      <c r="V122" s="5">
        <f t="shared" si="31"/>
        <v>0</v>
      </c>
      <c r="W122" s="77" t="str">
        <f t="shared" si="27"/>
        <v/>
      </c>
      <c r="X122" s="65" t="str">
        <f t="shared" si="28"/>
        <v/>
      </c>
      <c r="Y122" s="78" t="str">
        <f t="shared" si="29"/>
        <v/>
      </c>
      <c r="Z122" s="21"/>
      <c r="AA122" s="138"/>
      <c r="AB122" s="21"/>
    </row>
    <row r="123" spans="1:28" x14ac:dyDescent="0.25">
      <c r="A123" s="21"/>
      <c r="B123" s="18"/>
      <c r="C123" s="85" t="str">
        <f>IF(B123="","",INDEX(Elements!B:B,MATCH(Design!B123,Elements!A:A,0)))</f>
        <v/>
      </c>
      <c r="D123" s="13"/>
      <c r="E123" s="85" t="str">
        <f>IFERROR(IF(D123="","",INDEX(Elements!J:J,MATCH(Design!D123,Elements!I:I,0))),SUBSTITUTE(D123," ",""))</f>
        <v/>
      </c>
      <c r="F123" s="13"/>
      <c r="G123" s="84" t="str">
        <f>IFERROR(IF(F123="","",INDEX(Elements!L:L,MATCH(Design!F123,Elements!K:K,0))),F123)</f>
        <v/>
      </c>
      <c r="H123" s="12"/>
      <c r="I123" s="14"/>
      <c r="J123" s="63" t="str">
        <f t="shared" ca="1" si="30"/>
        <v>columnHeaders</v>
      </c>
      <c r="K123" s="63">
        <f t="shared" ca="1" si="34"/>
        <v>0</v>
      </c>
      <c r="L123" s="63" t="str">
        <f ca="1">IF(K123="fontFamily","fontFamily",IF(K123="fontSize","fontSize",IFERROR(INDEX(Elements!M:M,MATCH(Design!J123&amp;"|"&amp;Design!K123,Elements!N:N,0)),"")))</f>
        <v/>
      </c>
      <c r="M123" s="65" t="str">
        <f ca="1">IF(OR(L123="",L123="fill"),"",MATCH(IF(L123="enumeration",J123&amp;"|"&amp;G123,Design!L123),Elements!N:N,0))</f>
        <v/>
      </c>
      <c r="N123" s="65" t="str">
        <f t="shared" si="26"/>
        <v/>
      </c>
      <c r="O123" s="65" t="str">
        <f ca="1">"Elements!"&amp;INDEX(Elements!H:H,MATCH(Design!J123,Elements!J:J,0))</f>
        <v>Elements!K36:K44</v>
      </c>
      <c r="P123" s="65" t="str">
        <f t="shared" ca="1" si="33"/>
        <v>"</v>
      </c>
      <c r="Q123" s="75" t="str">
        <f t="shared" ref="Q123:Q186" si="36">IF(C123&lt;&gt;"","}},"&amp;CHAR(34)&amp;C123&amp;CHAR(34)&amp;":{"&amp;CHAR(34)&amp;"*"&amp;CHAR(34)&amp;":{","")</f>
        <v/>
      </c>
      <c r="R123" s="5" t="str">
        <f t="shared" ref="R123:R186" si="37">IF(AND(S122&lt;&gt;"",G123=""),"]","")&amp;IF(E123="","",IF(C122="",",","")&amp;CHAR(34)&amp;E123&amp;CHAR(34)&amp;":[")</f>
        <v/>
      </c>
      <c r="S123" s="5" t="str">
        <f t="shared" si="35"/>
        <v/>
      </c>
      <c r="T123" s="76" t="str">
        <f t="shared" si="25"/>
        <v/>
      </c>
      <c r="U123" s="5">
        <f t="shared" si="32"/>
        <v>0</v>
      </c>
      <c r="V123" s="5">
        <f t="shared" si="31"/>
        <v>0</v>
      </c>
      <c r="W123" s="77" t="str">
        <f t="shared" si="27"/>
        <v/>
      </c>
      <c r="X123" s="65" t="str">
        <f t="shared" si="28"/>
        <v/>
      </c>
      <c r="Y123" s="78" t="str">
        <f t="shared" si="29"/>
        <v/>
      </c>
      <c r="Z123" s="21"/>
      <c r="AA123" s="138"/>
      <c r="AB123" s="21"/>
    </row>
    <row r="124" spans="1:28" x14ac:dyDescent="0.25">
      <c r="A124" s="21"/>
      <c r="B124" s="18"/>
      <c r="C124" s="85" t="str">
        <f>IF(B124="","",INDEX(Elements!B:B,MATCH(Design!B124,Elements!A:A,0)))</f>
        <v/>
      </c>
      <c r="D124" s="13"/>
      <c r="E124" s="85" t="str">
        <f>IFERROR(IF(D124="","",INDEX(Elements!J:J,MATCH(Design!D124,Elements!I:I,0))),SUBSTITUTE(D124," ",""))</f>
        <v/>
      </c>
      <c r="F124" s="13"/>
      <c r="G124" s="84" t="str">
        <f>IFERROR(IF(F124="","",INDEX(Elements!L:L,MATCH(Design!F124,Elements!K:K,0))),F124)</f>
        <v/>
      </c>
      <c r="H124" s="12"/>
      <c r="I124" s="14"/>
      <c r="J124" s="63" t="str">
        <f t="shared" ca="1" si="30"/>
        <v>columnHeaders</v>
      </c>
      <c r="K124" s="63">
        <f t="shared" ca="1" si="34"/>
        <v>0</v>
      </c>
      <c r="L124" s="63" t="str">
        <f ca="1">IF(K124="fontFamily","fontFamily",IF(K124="fontSize","fontSize",IFERROR(INDEX(Elements!M:M,MATCH(Design!J124&amp;"|"&amp;Design!K124,Elements!N:N,0)),"")))</f>
        <v/>
      </c>
      <c r="M124" s="65" t="str">
        <f ca="1">IF(OR(L124="",L124="fill"),"",MATCH(IF(L124="enumeration",J124&amp;"|"&amp;G124,Design!L124),Elements!N:N,0))</f>
        <v/>
      </c>
      <c r="N124" s="65" t="str">
        <f t="shared" si="26"/>
        <v/>
      </c>
      <c r="O124" s="65" t="str">
        <f ca="1">"Elements!"&amp;INDEX(Elements!H:H,MATCH(Design!J124,Elements!J:J,0))</f>
        <v>Elements!K36:K44</v>
      </c>
      <c r="P124" s="65" t="str">
        <f t="shared" ca="1" si="33"/>
        <v>"</v>
      </c>
      <c r="Q124" s="75" t="str">
        <f t="shared" si="36"/>
        <v/>
      </c>
      <c r="R124" s="5" t="str">
        <f t="shared" si="37"/>
        <v/>
      </c>
      <c r="S124" s="5" t="str">
        <f t="shared" si="35"/>
        <v/>
      </c>
      <c r="T124" s="76" t="str">
        <f t="shared" si="25"/>
        <v/>
      </c>
      <c r="U124" s="5">
        <f t="shared" si="32"/>
        <v>0</v>
      </c>
      <c r="V124" s="5">
        <f t="shared" si="31"/>
        <v>0</v>
      </c>
      <c r="W124" s="77" t="str">
        <f t="shared" si="27"/>
        <v/>
      </c>
      <c r="X124" s="65" t="str">
        <f t="shared" si="28"/>
        <v/>
      </c>
      <c r="Y124" s="78" t="str">
        <f t="shared" si="29"/>
        <v/>
      </c>
      <c r="Z124" s="21"/>
      <c r="AA124" s="138"/>
      <c r="AB124" s="21"/>
    </row>
    <row r="125" spans="1:28" x14ac:dyDescent="0.25">
      <c r="A125" s="21"/>
      <c r="B125" s="18"/>
      <c r="C125" s="85" t="str">
        <f>IF(B125="","",INDEX(Elements!B:B,MATCH(Design!B125,Elements!A:A,0)))</f>
        <v/>
      </c>
      <c r="D125" s="13"/>
      <c r="E125" s="85" t="str">
        <f>IFERROR(IF(D125="","",INDEX(Elements!J:J,MATCH(Design!D125,Elements!I:I,0))),SUBSTITUTE(D125," ",""))</f>
        <v/>
      </c>
      <c r="F125" s="13"/>
      <c r="G125" s="84" t="str">
        <f>IFERROR(IF(F125="","",INDEX(Elements!L:L,MATCH(Design!F125,Elements!K:K,0))),F125)</f>
        <v/>
      </c>
      <c r="H125" s="12"/>
      <c r="I125" s="14"/>
      <c r="J125" s="63" t="str">
        <f t="shared" ca="1" si="30"/>
        <v>columnHeaders</v>
      </c>
      <c r="K125" s="63">
        <f t="shared" ca="1" si="34"/>
        <v>0</v>
      </c>
      <c r="L125" s="63" t="str">
        <f ca="1">IF(K125="fontFamily","fontFamily",IF(K125="fontSize","fontSize",IFERROR(INDEX(Elements!M:M,MATCH(Design!J125&amp;"|"&amp;Design!K125,Elements!N:N,0)),"")))</f>
        <v/>
      </c>
      <c r="M125" s="65" t="str">
        <f ca="1">IF(OR(L125="",L125="fill"),"",MATCH(IF(L125="enumeration",J125&amp;"|"&amp;G125,Design!L125),Elements!N:N,0))</f>
        <v/>
      </c>
      <c r="N125" s="65" t="str">
        <f t="shared" si="26"/>
        <v/>
      </c>
      <c r="O125" s="65" t="str">
        <f ca="1">"Elements!"&amp;INDEX(Elements!H:H,MATCH(Design!J125,Elements!J:J,0))</f>
        <v>Elements!K36:K44</v>
      </c>
      <c r="P125" s="65" t="str">
        <f t="shared" ca="1" si="33"/>
        <v>"</v>
      </c>
      <c r="Q125" s="75" t="str">
        <f t="shared" si="36"/>
        <v/>
      </c>
      <c r="R125" s="5" t="str">
        <f t="shared" si="37"/>
        <v/>
      </c>
      <c r="S125" s="5" t="str">
        <f t="shared" si="35"/>
        <v/>
      </c>
      <c r="T125" s="76" t="str">
        <f t="shared" si="25"/>
        <v/>
      </c>
      <c r="U125" s="5">
        <f t="shared" si="32"/>
        <v>0</v>
      </c>
      <c r="V125" s="5">
        <f t="shared" si="31"/>
        <v>0</v>
      </c>
      <c r="W125" s="77" t="str">
        <f t="shared" si="27"/>
        <v/>
      </c>
      <c r="X125" s="65" t="str">
        <f t="shared" si="28"/>
        <v/>
      </c>
      <c r="Y125" s="78" t="str">
        <f t="shared" si="29"/>
        <v/>
      </c>
      <c r="Z125" s="21"/>
      <c r="AA125" s="138"/>
      <c r="AB125" s="21"/>
    </row>
    <row r="126" spans="1:28" x14ac:dyDescent="0.25">
      <c r="A126" s="21"/>
      <c r="B126" s="18"/>
      <c r="C126" s="85" t="str">
        <f>IF(B126="","",INDEX(Elements!B:B,MATCH(Design!B126,Elements!A:A,0)))</f>
        <v/>
      </c>
      <c r="D126" s="13"/>
      <c r="E126" s="85" t="str">
        <f>IFERROR(IF(D126="","",INDEX(Elements!J:J,MATCH(Design!D126,Elements!I:I,0))),SUBSTITUTE(D126," ",""))</f>
        <v/>
      </c>
      <c r="F126" s="13"/>
      <c r="G126" s="84" t="str">
        <f>IFERROR(IF(F126="","",INDEX(Elements!L:L,MATCH(Design!F126,Elements!K:K,0))),F126)</f>
        <v/>
      </c>
      <c r="H126" s="12"/>
      <c r="I126" s="14"/>
      <c r="J126" s="63" t="str">
        <f t="shared" ca="1" si="30"/>
        <v>columnHeaders</v>
      </c>
      <c r="K126" s="63">
        <f t="shared" ca="1" si="34"/>
        <v>0</v>
      </c>
      <c r="L126" s="63" t="str">
        <f ca="1">IF(K126="fontFamily","fontFamily",IF(K126="fontSize","fontSize",IFERROR(INDEX(Elements!M:M,MATCH(Design!J126&amp;"|"&amp;Design!K126,Elements!N:N,0)),"")))</f>
        <v/>
      </c>
      <c r="M126" s="65" t="str">
        <f ca="1">IF(OR(L126="",L126="fill"),"",MATCH(IF(L126="enumeration",J126&amp;"|"&amp;G126,Design!L126),Elements!N:N,0))</f>
        <v/>
      </c>
      <c r="N126" s="65" t="str">
        <f t="shared" si="26"/>
        <v/>
      </c>
      <c r="O126" s="65" t="str">
        <f ca="1">"Elements!"&amp;INDEX(Elements!H:H,MATCH(Design!J126,Elements!J:J,0))</f>
        <v>Elements!K36:K44</v>
      </c>
      <c r="P126" s="65" t="str">
        <f t="shared" ca="1" si="33"/>
        <v>"</v>
      </c>
      <c r="Q126" s="75" t="str">
        <f t="shared" si="36"/>
        <v/>
      </c>
      <c r="R126" s="5" t="str">
        <f t="shared" si="37"/>
        <v/>
      </c>
      <c r="S126" s="5" t="str">
        <f t="shared" si="35"/>
        <v/>
      </c>
      <c r="T126" s="76" t="str">
        <f t="shared" si="25"/>
        <v/>
      </c>
      <c r="U126" s="5">
        <f t="shared" si="32"/>
        <v>0</v>
      </c>
      <c r="V126" s="5">
        <f t="shared" si="31"/>
        <v>0</v>
      </c>
      <c r="W126" s="77" t="str">
        <f t="shared" si="27"/>
        <v/>
      </c>
      <c r="X126" s="65" t="str">
        <f t="shared" si="28"/>
        <v/>
      </c>
      <c r="Y126" s="78" t="str">
        <f t="shared" si="29"/>
        <v/>
      </c>
      <c r="Z126" s="21"/>
      <c r="AA126" s="138"/>
      <c r="AB126" s="21"/>
    </row>
    <row r="127" spans="1:28" x14ac:dyDescent="0.25">
      <c r="A127" s="21"/>
      <c r="B127" s="18"/>
      <c r="C127" s="85" t="str">
        <f>IF(B127="","",INDEX(Elements!B:B,MATCH(Design!B127,Elements!A:A,0)))</f>
        <v/>
      </c>
      <c r="D127" s="13"/>
      <c r="E127" s="85" t="str">
        <f>IFERROR(IF(D127="","",INDEX(Elements!J:J,MATCH(Design!D127,Elements!I:I,0))),SUBSTITUTE(D127," ",""))</f>
        <v/>
      </c>
      <c r="F127" s="13"/>
      <c r="G127" s="84" t="str">
        <f>IFERROR(IF(F127="","",INDEX(Elements!L:L,MATCH(Design!F127,Elements!K:K,0))),F127)</f>
        <v/>
      </c>
      <c r="H127" s="12"/>
      <c r="I127" s="14"/>
      <c r="J127" s="63" t="str">
        <f t="shared" ca="1" si="30"/>
        <v>columnHeaders</v>
      </c>
      <c r="K127" s="63">
        <f t="shared" ca="1" si="34"/>
        <v>0</v>
      </c>
      <c r="L127" s="63" t="str">
        <f ca="1">IF(K127="fontFamily","fontFamily",IF(K127="fontSize","fontSize",IFERROR(INDEX(Elements!M:M,MATCH(Design!J127&amp;"|"&amp;Design!K127,Elements!N:N,0)),"")))</f>
        <v/>
      </c>
      <c r="M127" s="65" t="str">
        <f ca="1">IF(OR(L127="",L127="fill"),"",MATCH(IF(L127="enumeration",J127&amp;"|"&amp;G127,Design!L127),Elements!N:N,0))</f>
        <v/>
      </c>
      <c r="N127" s="65" t="str">
        <f t="shared" si="26"/>
        <v/>
      </c>
      <c r="O127" s="65" t="str">
        <f ca="1">"Elements!"&amp;INDEX(Elements!H:H,MATCH(Design!J127,Elements!J:J,0))</f>
        <v>Elements!K36:K44</v>
      </c>
      <c r="P127" s="65" t="str">
        <f t="shared" ca="1" si="33"/>
        <v>"</v>
      </c>
      <c r="Q127" s="75" t="str">
        <f t="shared" si="36"/>
        <v/>
      </c>
      <c r="R127" s="5" t="str">
        <f t="shared" si="37"/>
        <v/>
      </c>
      <c r="S127" s="5" t="str">
        <f t="shared" si="35"/>
        <v/>
      </c>
      <c r="T127" s="76" t="str">
        <f t="shared" ref="T127:T190" si="38">R127&amp;S127&amp;Q127</f>
        <v/>
      </c>
      <c r="U127" s="5">
        <f t="shared" si="32"/>
        <v>0</v>
      </c>
      <c r="V127" s="5">
        <f t="shared" si="31"/>
        <v>0</v>
      </c>
      <c r="W127" s="77" t="str">
        <f t="shared" si="27"/>
        <v/>
      </c>
      <c r="X127" s="65" t="str">
        <f t="shared" si="28"/>
        <v/>
      </c>
      <c r="Y127" s="78" t="str">
        <f t="shared" si="29"/>
        <v/>
      </c>
      <c r="Z127" s="21"/>
      <c r="AA127" s="138"/>
      <c r="AB127" s="21"/>
    </row>
    <row r="128" spans="1:28" x14ac:dyDescent="0.25">
      <c r="A128" s="21"/>
      <c r="B128" s="18"/>
      <c r="C128" s="85" t="str">
        <f>IF(B128="","",INDEX(Elements!B:B,MATCH(Design!B128,Elements!A:A,0)))</f>
        <v/>
      </c>
      <c r="D128" s="13"/>
      <c r="E128" s="85" t="str">
        <f>IFERROR(IF(D128="","",INDEX(Elements!J:J,MATCH(Design!D128,Elements!I:I,0))),SUBSTITUTE(D128," ",""))</f>
        <v/>
      </c>
      <c r="F128" s="13"/>
      <c r="G128" s="84" t="str">
        <f>IFERROR(IF(F128="","",INDEX(Elements!L:L,MATCH(Design!F128,Elements!K:K,0))),F128)</f>
        <v/>
      </c>
      <c r="H128" s="12"/>
      <c r="I128" s="14"/>
      <c r="J128" s="63" t="str">
        <f t="shared" ca="1" si="30"/>
        <v>columnHeaders</v>
      </c>
      <c r="K128" s="63">
        <f t="shared" ca="1" si="34"/>
        <v>0</v>
      </c>
      <c r="L128" s="63" t="str">
        <f ca="1">IF(K128="fontFamily","fontFamily",IF(K128="fontSize","fontSize",IFERROR(INDEX(Elements!M:M,MATCH(Design!J128&amp;"|"&amp;Design!K128,Elements!N:N,0)),"")))</f>
        <v/>
      </c>
      <c r="M128" s="65" t="str">
        <f ca="1">IF(OR(L128="",L128="fill"),"",MATCH(IF(L128="enumeration",J128&amp;"|"&amp;G128,Design!L128),Elements!N:N,0))</f>
        <v/>
      </c>
      <c r="N128" s="65" t="str">
        <f t="shared" si="26"/>
        <v/>
      </c>
      <c r="O128" s="65" t="str">
        <f ca="1">"Elements!"&amp;INDEX(Elements!H:H,MATCH(Design!J128,Elements!J:J,0))</f>
        <v>Elements!K36:K44</v>
      </c>
      <c r="P128" s="65" t="str">
        <f t="shared" ca="1" si="33"/>
        <v>"</v>
      </c>
      <c r="Q128" s="75" t="str">
        <f t="shared" si="36"/>
        <v/>
      </c>
      <c r="R128" s="5" t="str">
        <f t="shared" si="37"/>
        <v/>
      </c>
      <c r="S128" s="5" t="str">
        <f t="shared" si="35"/>
        <v/>
      </c>
      <c r="T128" s="76" t="str">
        <f t="shared" si="38"/>
        <v/>
      </c>
      <c r="U128" s="5">
        <f t="shared" si="32"/>
        <v>0</v>
      </c>
      <c r="V128" s="5">
        <f t="shared" si="31"/>
        <v>0</v>
      </c>
      <c r="W128" s="77" t="str">
        <f t="shared" si="27"/>
        <v/>
      </c>
      <c r="X128" s="65" t="str">
        <f t="shared" si="28"/>
        <v/>
      </c>
      <c r="Y128" s="78" t="str">
        <f t="shared" si="29"/>
        <v/>
      </c>
      <c r="Z128" s="21"/>
      <c r="AA128" s="138"/>
      <c r="AB128" s="21"/>
    </row>
    <row r="129" spans="1:28" x14ac:dyDescent="0.25">
      <c r="A129" s="21"/>
      <c r="B129" s="18"/>
      <c r="C129" s="85" t="str">
        <f>IF(B129="","",INDEX(Elements!B:B,MATCH(Design!B129,Elements!A:A,0)))</f>
        <v/>
      </c>
      <c r="D129" s="13"/>
      <c r="E129" s="85" t="str">
        <f>IFERROR(IF(D129="","",INDEX(Elements!J:J,MATCH(Design!D129,Elements!I:I,0))),SUBSTITUTE(D129," ",""))</f>
        <v/>
      </c>
      <c r="F129" s="13"/>
      <c r="G129" s="84" t="str">
        <f>IFERROR(IF(F129="","",INDEX(Elements!L:L,MATCH(Design!F129,Elements!K:K,0))),F129)</f>
        <v/>
      </c>
      <c r="H129" s="12"/>
      <c r="I129" s="14"/>
      <c r="J129" s="63" t="str">
        <f t="shared" ca="1" si="30"/>
        <v>columnHeaders</v>
      </c>
      <c r="K129" s="63">
        <f t="shared" ca="1" si="34"/>
        <v>0</v>
      </c>
      <c r="L129" s="63" t="str">
        <f ca="1">IF(K129="fontFamily","fontFamily",IF(K129="fontSize","fontSize",IFERROR(INDEX(Elements!M:M,MATCH(Design!J129&amp;"|"&amp;Design!K129,Elements!N:N,0)),"")))</f>
        <v/>
      </c>
      <c r="M129" s="65" t="str">
        <f ca="1">IF(OR(L129="",L129="fill"),"",MATCH(IF(L129="enumeration",J129&amp;"|"&amp;G129,Design!L129),Elements!N:N,0))</f>
        <v/>
      </c>
      <c r="N129" s="65" t="str">
        <f t="shared" si="26"/>
        <v/>
      </c>
      <c r="O129" s="65" t="str">
        <f ca="1">"Elements!"&amp;INDEX(Elements!H:H,MATCH(Design!J129,Elements!J:J,0))</f>
        <v>Elements!K36:K44</v>
      </c>
      <c r="P129" s="65" t="str">
        <f t="shared" ca="1" si="33"/>
        <v>"</v>
      </c>
      <c r="Q129" s="75" t="str">
        <f t="shared" si="36"/>
        <v/>
      </c>
      <c r="R129" s="5" t="str">
        <f t="shared" si="37"/>
        <v/>
      </c>
      <c r="S129" s="5" t="str">
        <f t="shared" si="35"/>
        <v/>
      </c>
      <c r="T129" s="76" t="str">
        <f t="shared" si="38"/>
        <v/>
      </c>
      <c r="U129" s="5">
        <f t="shared" si="32"/>
        <v>0</v>
      </c>
      <c r="V129" s="5">
        <f t="shared" si="31"/>
        <v>0</v>
      </c>
      <c r="W129" s="77" t="str">
        <f t="shared" si="27"/>
        <v/>
      </c>
      <c r="X129" s="65" t="str">
        <f t="shared" si="28"/>
        <v/>
      </c>
      <c r="Y129" s="78" t="str">
        <f t="shared" si="29"/>
        <v/>
      </c>
      <c r="Z129" s="21"/>
      <c r="AA129" s="138"/>
      <c r="AB129" s="21"/>
    </row>
    <row r="130" spans="1:28" x14ac:dyDescent="0.25">
      <c r="A130" s="21"/>
      <c r="B130" s="18"/>
      <c r="C130" s="85" t="str">
        <f>IF(B130="","",INDEX(Elements!B:B,MATCH(Design!B130,Elements!A:A,0)))</f>
        <v/>
      </c>
      <c r="D130" s="13"/>
      <c r="E130" s="85" t="str">
        <f>IFERROR(IF(D130="","",INDEX(Elements!J:J,MATCH(Design!D130,Elements!I:I,0))),SUBSTITUTE(D130," ",""))</f>
        <v/>
      </c>
      <c r="F130" s="13"/>
      <c r="G130" s="84" t="str">
        <f>IFERROR(IF(F130="","",INDEX(Elements!L:L,MATCH(Design!F130,Elements!K:K,0))),F130)</f>
        <v/>
      </c>
      <c r="H130" s="12"/>
      <c r="I130" s="14"/>
      <c r="J130" s="63" t="str">
        <f t="shared" ca="1" si="30"/>
        <v>columnHeaders</v>
      </c>
      <c r="K130" s="63">
        <f t="shared" ca="1" si="34"/>
        <v>0</v>
      </c>
      <c r="L130" s="63" t="str">
        <f ca="1">IF(K130="fontFamily","fontFamily",IF(K130="fontSize","fontSize",IFERROR(INDEX(Elements!M:M,MATCH(Design!J130&amp;"|"&amp;Design!K130,Elements!N:N,0)),"")))</f>
        <v/>
      </c>
      <c r="M130" s="65" t="str">
        <f ca="1">IF(OR(L130="",L130="fill"),"",MATCH(IF(L130="enumeration",J130&amp;"|"&amp;G130,Design!L130),Elements!N:N,0))</f>
        <v/>
      </c>
      <c r="N130" s="65" t="str">
        <f t="shared" si="26"/>
        <v/>
      </c>
      <c r="O130" s="65" t="str">
        <f ca="1">"Elements!"&amp;INDEX(Elements!H:H,MATCH(Design!J130,Elements!J:J,0))</f>
        <v>Elements!K36:K44</v>
      </c>
      <c r="P130" s="65" t="str">
        <f t="shared" ca="1" si="33"/>
        <v>"</v>
      </c>
      <c r="Q130" s="75" t="str">
        <f t="shared" si="36"/>
        <v/>
      </c>
      <c r="R130" s="5" t="str">
        <f t="shared" si="37"/>
        <v/>
      </c>
      <c r="S130" s="5" t="str">
        <f t="shared" si="35"/>
        <v/>
      </c>
      <c r="T130" s="76" t="str">
        <f t="shared" si="38"/>
        <v/>
      </c>
      <c r="U130" s="5">
        <f t="shared" si="32"/>
        <v>0</v>
      </c>
      <c r="V130" s="5">
        <f t="shared" si="31"/>
        <v>0</v>
      </c>
      <c r="W130" s="77" t="str">
        <f t="shared" si="27"/>
        <v/>
      </c>
      <c r="X130" s="65" t="str">
        <f t="shared" si="28"/>
        <v/>
      </c>
      <c r="Y130" s="78" t="str">
        <f t="shared" si="29"/>
        <v/>
      </c>
      <c r="Z130" s="21"/>
      <c r="AA130" s="138"/>
      <c r="AB130" s="21"/>
    </row>
    <row r="131" spans="1:28" x14ac:dyDescent="0.25">
      <c r="A131" s="21"/>
      <c r="B131" s="18"/>
      <c r="C131" s="85" t="str">
        <f>IF(B131="","",INDEX(Elements!B:B,MATCH(Design!B131,Elements!A:A,0)))</f>
        <v/>
      </c>
      <c r="D131" s="13"/>
      <c r="E131" s="85" t="str">
        <f>IFERROR(IF(D131="","",INDEX(Elements!J:J,MATCH(Design!D131,Elements!I:I,0))),SUBSTITUTE(D131," ",""))</f>
        <v/>
      </c>
      <c r="F131" s="13"/>
      <c r="G131" s="84" t="str">
        <f>IFERROR(IF(F131="","",INDEX(Elements!L:L,MATCH(Design!F131,Elements!K:K,0))),F131)</f>
        <v/>
      </c>
      <c r="H131" s="12"/>
      <c r="I131" s="14"/>
      <c r="J131" s="63" t="str">
        <f t="shared" ca="1" si="30"/>
        <v>columnHeaders</v>
      </c>
      <c r="K131" s="63">
        <f t="shared" ca="1" si="34"/>
        <v>0</v>
      </c>
      <c r="L131" s="63" t="str">
        <f ca="1">IF(K131="fontFamily","fontFamily",IF(K131="fontSize","fontSize",IFERROR(INDEX(Elements!M:M,MATCH(Design!J131&amp;"|"&amp;Design!K131,Elements!N:N,0)),"")))</f>
        <v/>
      </c>
      <c r="M131" s="65" t="str">
        <f ca="1">IF(OR(L131="",L131="fill"),"",MATCH(IF(L131="enumeration",J131&amp;"|"&amp;G131,Design!L131),Elements!N:N,0))</f>
        <v/>
      </c>
      <c r="N131" s="65" t="str">
        <f t="shared" si="26"/>
        <v/>
      </c>
      <c r="O131" s="65" t="str">
        <f ca="1">"Elements!"&amp;INDEX(Elements!H:H,MATCH(Design!J131,Elements!J:J,0))</f>
        <v>Elements!K36:K44</v>
      </c>
      <c r="P131" s="65" t="str">
        <f t="shared" ca="1" si="33"/>
        <v>"</v>
      </c>
      <c r="Q131" s="75" t="str">
        <f t="shared" si="36"/>
        <v/>
      </c>
      <c r="R131" s="5" t="str">
        <f t="shared" si="37"/>
        <v/>
      </c>
      <c r="S131" s="5" t="str">
        <f t="shared" si="35"/>
        <v/>
      </c>
      <c r="T131" s="76" t="str">
        <f t="shared" si="38"/>
        <v/>
      </c>
      <c r="U131" s="5">
        <f t="shared" si="32"/>
        <v>0</v>
      </c>
      <c r="V131" s="5">
        <f t="shared" si="31"/>
        <v>0</v>
      </c>
      <c r="W131" s="77" t="str">
        <f t="shared" si="27"/>
        <v/>
      </c>
      <c r="X131" s="65" t="str">
        <f t="shared" si="28"/>
        <v/>
      </c>
      <c r="Y131" s="78" t="str">
        <f t="shared" si="29"/>
        <v/>
      </c>
      <c r="Z131" s="21"/>
      <c r="AA131" s="138"/>
      <c r="AB131" s="21"/>
    </row>
    <row r="132" spans="1:28" x14ac:dyDescent="0.25">
      <c r="A132" s="21"/>
      <c r="B132" s="18"/>
      <c r="C132" s="85" t="str">
        <f>IF(B132="","",INDEX(Elements!B:B,MATCH(Design!B132,Elements!A:A,0)))</f>
        <v/>
      </c>
      <c r="D132" s="13"/>
      <c r="E132" s="85" t="str">
        <f>IFERROR(IF(D132="","",INDEX(Elements!J:J,MATCH(Design!D132,Elements!I:I,0))),SUBSTITUTE(D132," ",""))</f>
        <v/>
      </c>
      <c r="F132" s="13"/>
      <c r="G132" s="84" t="str">
        <f>IFERROR(IF(F132="","",INDEX(Elements!L:L,MATCH(Design!F132,Elements!K:K,0))),F132)</f>
        <v/>
      </c>
      <c r="H132" s="12"/>
      <c r="I132" s="14"/>
      <c r="J132" s="63" t="str">
        <f t="shared" ca="1" si="30"/>
        <v>columnHeaders</v>
      </c>
      <c r="K132" s="63">
        <f t="shared" ca="1" si="34"/>
        <v>0</v>
      </c>
      <c r="L132" s="63" t="str">
        <f ca="1">IF(K132="fontFamily","fontFamily",IF(K132="fontSize","fontSize",IFERROR(INDEX(Elements!M:M,MATCH(Design!J132&amp;"|"&amp;Design!K132,Elements!N:N,0)),"")))</f>
        <v/>
      </c>
      <c r="M132" s="65" t="str">
        <f ca="1">IF(OR(L132="",L132="fill"),"",MATCH(IF(L132="enumeration",J132&amp;"|"&amp;G132,Design!L132),Elements!N:N,0))</f>
        <v/>
      </c>
      <c r="N132" s="65" t="str">
        <f t="shared" si="26"/>
        <v/>
      </c>
      <c r="O132" s="65" t="str">
        <f ca="1">"Elements!"&amp;INDEX(Elements!H:H,MATCH(Design!J132,Elements!J:J,0))</f>
        <v>Elements!K36:K44</v>
      </c>
      <c r="P132" s="65" t="str">
        <f t="shared" ca="1" si="33"/>
        <v>"</v>
      </c>
      <c r="Q132" s="75" t="str">
        <f t="shared" si="36"/>
        <v/>
      </c>
      <c r="R132" s="5" t="str">
        <f t="shared" si="37"/>
        <v/>
      </c>
      <c r="S132" s="5" t="str">
        <f t="shared" si="35"/>
        <v/>
      </c>
      <c r="T132" s="76" t="str">
        <f t="shared" si="38"/>
        <v/>
      </c>
      <c r="U132" s="5">
        <f t="shared" si="32"/>
        <v>0</v>
      </c>
      <c r="V132" s="5">
        <f t="shared" si="31"/>
        <v>0</v>
      </c>
      <c r="W132" s="77" t="str">
        <f t="shared" si="27"/>
        <v/>
      </c>
      <c r="X132" s="65" t="str">
        <f t="shared" si="28"/>
        <v/>
      </c>
      <c r="Y132" s="78" t="str">
        <f t="shared" si="29"/>
        <v/>
      </c>
      <c r="Z132" s="21"/>
      <c r="AA132" s="138"/>
      <c r="AB132" s="21"/>
    </row>
    <row r="133" spans="1:28" x14ac:dyDescent="0.25">
      <c r="A133" s="21"/>
      <c r="B133" s="18"/>
      <c r="C133" s="85" t="str">
        <f>IF(B133="","",INDEX(Elements!B:B,MATCH(Design!B133,Elements!A:A,0)))</f>
        <v/>
      </c>
      <c r="D133" s="13"/>
      <c r="E133" s="85" t="str">
        <f>IFERROR(IF(D133="","",INDEX(Elements!J:J,MATCH(Design!D133,Elements!I:I,0))),SUBSTITUTE(D133," ",""))</f>
        <v/>
      </c>
      <c r="F133" s="13"/>
      <c r="G133" s="84" t="str">
        <f>IFERROR(IF(F133="","",INDEX(Elements!L:L,MATCH(Design!F133,Elements!K:K,0))),F133)</f>
        <v/>
      </c>
      <c r="H133" s="12"/>
      <c r="I133" s="14"/>
      <c r="J133" s="63" t="str">
        <f t="shared" ca="1" si="30"/>
        <v>columnHeaders</v>
      </c>
      <c r="K133" s="63">
        <f t="shared" ca="1" si="34"/>
        <v>0</v>
      </c>
      <c r="L133" s="63" t="str">
        <f ca="1">IF(K133="fontFamily","fontFamily",IF(K133="fontSize","fontSize",IFERROR(INDEX(Elements!M:M,MATCH(Design!J133&amp;"|"&amp;Design!K133,Elements!N:N,0)),"")))</f>
        <v/>
      </c>
      <c r="M133" s="65" t="str">
        <f ca="1">IF(OR(L133="",L133="fill"),"",MATCH(IF(L133="enumeration",J133&amp;"|"&amp;G133,Design!L133),Elements!N:N,0))</f>
        <v/>
      </c>
      <c r="N133" s="65" t="str">
        <f t="shared" si="26"/>
        <v/>
      </c>
      <c r="O133" s="65" t="str">
        <f ca="1">"Elements!"&amp;INDEX(Elements!H:H,MATCH(Design!J133,Elements!J:J,0))</f>
        <v>Elements!K36:K44</v>
      </c>
      <c r="P133" s="65" t="str">
        <f t="shared" ca="1" si="33"/>
        <v>"</v>
      </c>
      <c r="Q133" s="75" t="str">
        <f t="shared" si="36"/>
        <v/>
      </c>
      <c r="R133" s="5" t="str">
        <f t="shared" si="37"/>
        <v/>
      </c>
      <c r="S133" s="5" t="str">
        <f t="shared" si="35"/>
        <v/>
      </c>
      <c r="T133" s="76" t="str">
        <f t="shared" si="38"/>
        <v/>
      </c>
      <c r="U133" s="5">
        <f t="shared" si="32"/>
        <v>0</v>
      </c>
      <c r="V133" s="5">
        <f t="shared" si="31"/>
        <v>0</v>
      </c>
      <c r="W133" s="77" t="str">
        <f t="shared" si="27"/>
        <v/>
      </c>
      <c r="X133" s="65" t="str">
        <f t="shared" si="28"/>
        <v/>
      </c>
      <c r="Y133" s="78" t="str">
        <f t="shared" si="29"/>
        <v/>
      </c>
      <c r="Z133" s="21"/>
      <c r="AA133" s="138"/>
      <c r="AB133" s="21"/>
    </row>
    <row r="134" spans="1:28" x14ac:dyDescent="0.25">
      <c r="A134" s="21"/>
      <c r="B134" s="18"/>
      <c r="C134" s="85" t="str">
        <f>IF(B134="","",INDEX(Elements!B:B,MATCH(Design!B134,Elements!A:A,0)))</f>
        <v/>
      </c>
      <c r="D134" s="13"/>
      <c r="E134" s="85" t="str">
        <f>IFERROR(IF(D134="","",INDEX(Elements!J:J,MATCH(Design!D134,Elements!I:I,0))),SUBSTITUTE(D134," ",""))</f>
        <v/>
      </c>
      <c r="F134" s="13"/>
      <c r="G134" s="84" t="str">
        <f>IFERROR(IF(F134="","",INDEX(Elements!L:L,MATCH(Design!F134,Elements!K:K,0))),F134)</f>
        <v/>
      </c>
      <c r="H134" s="12"/>
      <c r="I134" s="14"/>
      <c r="J134" s="63" t="str">
        <f t="shared" ca="1" si="30"/>
        <v>columnHeaders</v>
      </c>
      <c r="K134" s="63">
        <f t="shared" ca="1" si="34"/>
        <v>0</v>
      </c>
      <c r="L134" s="63" t="str">
        <f ca="1">IF(K134="fontFamily","fontFamily",IF(K134="fontSize","fontSize",IFERROR(INDEX(Elements!M:M,MATCH(Design!J134&amp;"|"&amp;Design!K134,Elements!N:N,0)),"")))</f>
        <v/>
      </c>
      <c r="M134" s="65" t="str">
        <f ca="1">IF(OR(L134="",L134="fill"),"",MATCH(IF(L134="enumeration",J134&amp;"|"&amp;G134,Design!L134),Elements!N:N,0))</f>
        <v/>
      </c>
      <c r="N134" s="65" t="str">
        <f t="shared" si="26"/>
        <v/>
      </c>
      <c r="O134" s="65" t="str">
        <f ca="1">"Elements!"&amp;INDEX(Elements!H:H,MATCH(Design!J134,Elements!J:J,0))</f>
        <v>Elements!K36:K44</v>
      </c>
      <c r="P134" s="65" t="str">
        <f t="shared" ca="1" si="33"/>
        <v>"</v>
      </c>
      <c r="Q134" s="75" t="str">
        <f t="shared" si="36"/>
        <v/>
      </c>
      <c r="R134" s="5" t="str">
        <f t="shared" si="37"/>
        <v/>
      </c>
      <c r="S134" s="5" t="str">
        <f t="shared" si="35"/>
        <v/>
      </c>
      <c r="T134" s="76" t="str">
        <f t="shared" si="38"/>
        <v/>
      </c>
      <c r="U134" s="5">
        <f t="shared" si="32"/>
        <v>0</v>
      </c>
      <c r="V134" s="5">
        <f t="shared" si="31"/>
        <v>0</v>
      </c>
      <c r="W134" s="77" t="str">
        <f t="shared" si="27"/>
        <v/>
      </c>
      <c r="X134" s="65" t="str">
        <f t="shared" si="28"/>
        <v/>
      </c>
      <c r="Y134" s="78" t="str">
        <f t="shared" si="29"/>
        <v/>
      </c>
      <c r="Z134" s="21"/>
      <c r="AA134" s="138"/>
      <c r="AB134" s="21"/>
    </row>
    <row r="135" spans="1:28" x14ac:dyDescent="0.25">
      <c r="A135" s="21"/>
      <c r="B135" s="18"/>
      <c r="C135" s="85" t="str">
        <f>IF(B135="","",INDEX(Elements!B:B,MATCH(Design!B135,Elements!A:A,0)))</f>
        <v/>
      </c>
      <c r="D135" s="13"/>
      <c r="E135" s="85" t="str">
        <f>IFERROR(IF(D135="","",INDEX(Elements!J:J,MATCH(Design!D135,Elements!I:I,0))),SUBSTITUTE(D135," ",""))</f>
        <v/>
      </c>
      <c r="F135" s="13"/>
      <c r="G135" s="84" t="str">
        <f>IFERROR(IF(F135="","",INDEX(Elements!L:L,MATCH(Design!F135,Elements!K:K,0))),F135)</f>
        <v/>
      </c>
      <c r="H135" s="12"/>
      <c r="I135" s="14"/>
      <c r="J135" s="63" t="str">
        <f t="shared" ca="1" si="30"/>
        <v>columnHeaders</v>
      </c>
      <c r="K135" s="63">
        <f t="shared" ca="1" si="34"/>
        <v>0</v>
      </c>
      <c r="L135" s="63" t="str">
        <f ca="1">IF(K135="fontFamily","fontFamily",IF(K135="fontSize","fontSize",IFERROR(INDEX(Elements!M:M,MATCH(Design!J135&amp;"|"&amp;Design!K135,Elements!N:N,0)),"")))</f>
        <v/>
      </c>
      <c r="M135" s="65" t="str">
        <f ca="1">IF(OR(L135="",L135="fill"),"",MATCH(IF(L135="enumeration",J135&amp;"|"&amp;G135,Design!L135),Elements!N:N,0))</f>
        <v/>
      </c>
      <c r="N135" s="65" t="str">
        <f t="shared" si="26"/>
        <v/>
      </c>
      <c r="O135" s="65" t="str">
        <f ca="1">"Elements!"&amp;INDEX(Elements!H:H,MATCH(Design!J135,Elements!J:J,0))</f>
        <v>Elements!K36:K44</v>
      </c>
      <c r="P135" s="65" t="str">
        <f t="shared" ca="1" si="33"/>
        <v>"</v>
      </c>
      <c r="Q135" s="75" t="str">
        <f t="shared" si="36"/>
        <v/>
      </c>
      <c r="R135" s="5" t="str">
        <f t="shared" si="37"/>
        <v/>
      </c>
      <c r="S135" s="5" t="str">
        <f t="shared" si="35"/>
        <v/>
      </c>
      <c r="T135" s="76" t="str">
        <f t="shared" si="38"/>
        <v/>
      </c>
      <c r="U135" s="5">
        <f t="shared" si="32"/>
        <v>0</v>
      </c>
      <c r="V135" s="5">
        <f t="shared" si="31"/>
        <v>0</v>
      </c>
      <c r="W135" s="77" t="str">
        <f t="shared" si="27"/>
        <v/>
      </c>
      <c r="X135" s="65" t="str">
        <f t="shared" si="28"/>
        <v/>
      </c>
      <c r="Y135" s="78" t="str">
        <f t="shared" si="29"/>
        <v/>
      </c>
      <c r="Z135" s="21"/>
      <c r="AA135" s="138"/>
      <c r="AB135" s="21"/>
    </row>
    <row r="136" spans="1:28" x14ac:dyDescent="0.25">
      <c r="A136" s="21"/>
      <c r="B136" s="18"/>
      <c r="C136" s="85" t="str">
        <f>IF(B136="","",INDEX(Elements!B:B,MATCH(Design!B136,Elements!A:A,0)))</f>
        <v/>
      </c>
      <c r="D136" s="13"/>
      <c r="E136" s="85" t="str">
        <f>IFERROR(IF(D136="","",INDEX(Elements!J:J,MATCH(Design!D136,Elements!I:I,0))),SUBSTITUTE(D136," ",""))</f>
        <v/>
      </c>
      <c r="F136" s="13"/>
      <c r="G136" s="84" t="str">
        <f>IFERROR(IF(F136="","",INDEX(Elements!L:L,MATCH(Design!F136,Elements!K:K,0))),F136)</f>
        <v/>
      </c>
      <c r="H136" s="12"/>
      <c r="I136" s="14"/>
      <c r="J136" s="63" t="str">
        <f t="shared" ca="1" si="30"/>
        <v>columnHeaders</v>
      </c>
      <c r="K136" s="63">
        <f t="shared" ca="1" si="34"/>
        <v>0</v>
      </c>
      <c r="L136" s="63" t="str">
        <f ca="1">IF(K136="fontFamily","fontFamily",IF(K136="fontSize","fontSize",IFERROR(INDEX(Elements!M:M,MATCH(Design!J136&amp;"|"&amp;Design!K136,Elements!N:N,0)),"")))</f>
        <v/>
      </c>
      <c r="M136" s="65" t="str">
        <f ca="1">IF(OR(L136="",L136="fill"),"",MATCH(IF(L136="enumeration",J136&amp;"|"&amp;G136,Design!L136),Elements!N:N,0))</f>
        <v/>
      </c>
      <c r="N136" s="65" t="str">
        <f t="shared" si="26"/>
        <v/>
      </c>
      <c r="O136" s="65" t="str">
        <f ca="1">"Elements!"&amp;INDEX(Elements!H:H,MATCH(Design!J136,Elements!J:J,0))</f>
        <v>Elements!K36:K44</v>
      </c>
      <c r="P136" s="65" t="str">
        <f t="shared" ca="1" si="33"/>
        <v>"</v>
      </c>
      <c r="Q136" s="75" t="str">
        <f t="shared" si="36"/>
        <v/>
      </c>
      <c r="R136" s="5" t="str">
        <f t="shared" si="37"/>
        <v/>
      </c>
      <c r="S136" s="5" t="str">
        <f t="shared" si="35"/>
        <v/>
      </c>
      <c r="T136" s="76" t="str">
        <f t="shared" si="38"/>
        <v/>
      </c>
      <c r="U136" s="5">
        <f t="shared" si="32"/>
        <v>0</v>
      </c>
      <c r="V136" s="5">
        <f t="shared" si="31"/>
        <v>0</v>
      </c>
      <c r="W136" s="77" t="str">
        <f t="shared" si="27"/>
        <v/>
      </c>
      <c r="X136" s="65" t="str">
        <f t="shared" si="28"/>
        <v/>
      </c>
      <c r="Y136" s="78" t="str">
        <f t="shared" si="29"/>
        <v/>
      </c>
      <c r="Z136" s="21"/>
      <c r="AA136" s="138"/>
      <c r="AB136" s="21"/>
    </row>
    <row r="137" spans="1:28" x14ac:dyDescent="0.25">
      <c r="A137" s="21"/>
      <c r="B137" s="18"/>
      <c r="C137" s="85" t="str">
        <f>IF(B137="","",INDEX(Elements!B:B,MATCH(Design!B137,Elements!A:A,0)))</f>
        <v/>
      </c>
      <c r="D137" s="13"/>
      <c r="E137" s="85" t="str">
        <f>IFERROR(IF(D137="","",INDEX(Elements!J:J,MATCH(Design!D137,Elements!I:I,0))),SUBSTITUTE(D137," ",""))</f>
        <v/>
      </c>
      <c r="F137" s="13"/>
      <c r="G137" s="84" t="str">
        <f>IFERROR(IF(F137="","",INDEX(Elements!L:L,MATCH(Design!F137,Elements!K:K,0))),F137)</f>
        <v/>
      </c>
      <c r="H137" s="12"/>
      <c r="I137" s="14"/>
      <c r="J137" s="63" t="str">
        <f t="shared" ca="1" si="30"/>
        <v>columnHeaders</v>
      </c>
      <c r="K137" s="63">
        <f t="shared" ca="1" si="34"/>
        <v>0</v>
      </c>
      <c r="L137" s="63" t="str">
        <f ca="1">IF(K137="fontFamily","fontFamily",IF(K137="fontSize","fontSize",IFERROR(INDEX(Elements!M:M,MATCH(Design!J137&amp;"|"&amp;Design!K137,Elements!N:N,0)),"")))</f>
        <v/>
      </c>
      <c r="M137" s="65" t="str">
        <f ca="1">IF(OR(L137="",L137="fill"),"",MATCH(IF(L137="enumeration",J137&amp;"|"&amp;G137,Design!L137),Elements!N:N,0))</f>
        <v/>
      </c>
      <c r="N137" s="65" t="str">
        <f t="shared" si="26"/>
        <v/>
      </c>
      <c r="O137" s="65" t="str">
        <f ca="1">"Elements!"&amp;INDEX(Elements!H:H,MATCH(Design!J137,Elements!J:J,0))</f>
        <v>Elements!K36:K44</v>
      </c>
      <c r="P137" s="65" t="str">
        <f t="shared" ca="1" si="33"/>
        <v>"</v>
      </c>
      <c r="Q137" s="75" t="str">
        <f t="shared" si="36"/>
        <v/>
      </c>
      <c r="R137" s="5" t="str">
        <f t="shared" si="37"/>
        <v/>
      </c>
      <c r="S137" s="5" t="str">
        <f t="shared" si="35"/>
        <v/>
      </c>
      <c r="T137" s="76" t="str">
        <f t="shared" si="38"/>
        <v/>
      </c>
      <c r="U137" s="5">
        <f t="shared" si="32"/>
        <v>0</v>
      </c>
      <c r="V137" s="5">
        <f t="shared" si="31"/>
        <v>0</v>
      </c>
      <c r="W137" s="77" t="str">
        <f t="shared" si="27"/>
        <v/>
      </c>
      <c r="X137" s="65" t="str">
        <f t="shared" si="28"/>
        <v/>
      </c>
      <c r="Y137" s="78" t="str">
        <f t="shared" si="29"/>
        <v/>
      </c>
      <c r="Z137" s="21"/>
      <c r="AA137" s="138"/>
      <c r="AB137" s="21"/>
    </row>
    <row r="138" spans="1:28" x14ac:dyDescent="0.25">
      <c r="A138" s="21"/>
      <c r="B138" s="18"/>
      <c r="C138" s="85" t="str">
        <f>IF(B138="","",INDEX(Elements!B:B,MATCH(Design!B138,Elements!A:A,0)))</f>
        <v/>
      </c>
      <c r="D138" s="13"/>
      <c r="E138" s="85" t="str">
        <f>IFERROR(IF(D138="","",INDEX(Elements!J:J,MATCH(Design!D138,Elements!I:I,0))),SUBSTITUTE(D138," ",""))</f>
        <v/>
      </c>
      <c r="F138" s="13"/>
      <c r="G138" s="84" t="str">
        <f>IFERROR(IF(F138="","",INDEX(Elements!L:L,MATCH(Design!F138,Elements!K:K,0))),F138)</f>
        <v/>
      </c>
      <c r="H138" s="12"/>
      <c r="I138" s="14"/>
      <c r="J138" s="63" t="str">
        <f t="shared" ca="1" si="30"/>
        <v>columnHeaders</v>
      </c>
      <c r="K138" s="63">
        <f t="shared" ca="1" si="34"/>
        <v>0</v>
      </c>
      <c r="L138" s="63" t="str">
        <f ca="1">IF(K138="fontFamily","fontFamily",IF(K138="fontSize","fontSize",IFERROR(INDEX(Elements!M:M,MATCH(Design!J138&amp;"|"&amp;Design!K138,Elements!N:N,0)),"")))</f>
        <v/>
      </c>
      <c r="M138" s="65" t="str">
        <f ca="1">IF(OR(L138="",L138="fill"),"",MATCH(IF(L138="enumeration",J138&amp;"|"&amp;G138,Design!L138),Elements!N:N,0))</f>
        <v/>
      </c>
      <c r="N138" s="65" t="str">
        <f t="shared" si="26"/>
        <v/>
      </c>
      <c r="O138" s="65" t="str">
        <f ca="1">"Elements!"&amp;INDEX(Elements!H:H,MATCH(Design!J138,Elements!J:J,0))</f>
        <v>Elements!K36:K44</v>
      </c>
      <c r="P138" s="65" t="str">
        <f t="shared" ca="1" si="33"/>
        <v>"</v>
      </c>
      <c r="Q138" s="75" t="str">
        <f t="shared" si="36"/>
        <v/>
      </c>
      <c r="R138" s="5" t="str">
        <f t="shared" si="37"/>
        <v/>
      </c>
      <c r="S138" s="5" t="str">
        <f t="shared" si="35"/>
        <v/>
      </c>
      <c r="T138" s="76" t="str">
        <f t="shared" si="38"/>
        <v/>
      </c>
      <c r="U138" s="5">
        <f t="shared" si="32"/>
        <v>0</v>
      </c>
      <c r="V138" s="5">
        <f t="shared" si="31"/>
        <v>0</v>
      </c>
      <c r="W138" s="77" t="str">
        <f t="shared" si="27"/>
        <v/>
      </c>
      <c r="X138" s="65" t="str">
        <f t="shared" si="28"/>
        <v/>
      </c>
      <c r="Y138" s="78" t="str">
        <f t="shared" si="29"/>
        <v/>
      </c>
      <c r="Z138" s="21"/>
      <c r="AA138" s="138"/>
      <c r="AB138" s="21"/>
    </row>
    <row r="139" spans="1:28" x14ac:dyDescent="0.25">
      <c r="A139" s="21"/>
      <c r="B139" s="18"/>
      <c r="C139" s="85" t="str">
        <f>IF(B139="","",INDEX(Elements!B:B,MATCH(Design!B139,Elements!A:A,0)))</f>
        <v/>
      </c>
      <c r="D139" s="13"/>
      <c r="E139" s="85" t="str">
        <f>IFERROR(IF(D139="","",INDEX(Elements!J:J,MATCH(Design!D139,Elements!I:I,0))),SUBSTITUTE(D139," ",""))</f>
        <v/>
      </c>
      <c r="F139" s="13"/>
      <c r="G139" s="84" t="str">
        <f>IFERROR(IF(F139="","",INDEX(Elements!L:L,MATCH(Design!F139,Elements!K:K,0))),F139)</f>
        <v/>
      </c>
      <c r="H139" s="12"/>
      <c r="I139" s="14"/>
      <c r="J139" s="63" t="str">
        <f t="shared" ca="1" si="30"/>
        <v>columnHeaders</v>
      </c>
      <c r="K139" s="63">
        <f t="shared" ca="1" si="34"/>
        <v>0</v>
      </c>
      <c r="L139" s="63" t="str">
        <f ca="1">IF(K139="fontFamily","fontFamily",IF(K139="fontSize","fontSize",IFERROR(INDEX(Elements!M:M,MATCH(Design!J139&amp;"|"&amp;Design!K139,Elements!N:N,0)),"")))</f>
        <v/>
      </c>
      <c r="M139" s="65" t="str">
        <f ca="1">IF(OR(L139="",L139="fill"),"",MATCH(IF(L139="enumeration",J139&amp;"|"&amp;G139,Design!L139),Elements!N:N,0))</f>
        <v/>
      </c>
      <c r="N139" s="65" t="str">
        <f t="shared" si="26"/>
        <v/>
      </c>
      <c r="O139" s="65" t="str">
        <f ca="1">"Elements!"&amp;INDEX(Elements!H:H,MATCH(Design!J139,Elements!J:J,0))</f>
        <v>Elements!K36:K44</v>
      </c>
      <c r="P139" s="65" t="str">
        <f t="shared" ca="1" si="33"/>
        <v>"</v>
      </c>
      <c r="Q139" s="75" t="str">
        <f t="shared" si="36"/>
        <v/>
      </c>
      <c r="R139" s="5" t="str">
        <f t="shared" si="37"/>
        <v/>
      </c>
      <c r="S139" s="5" t="str">
        <f t="shared" si="35"/>
        <v/>
      </c>
      <c r="T139" s="76" t="str">
        <f t="shared" si="38"/>
        <v/>
      </c>
      <c r="U139" s="5">
        <f t="shared" si="32"/>
        <v>0</v>
      </c>
      <c r="V139" s="5">
        <f t="shared" si="31"/>
        <v>0</v>
      </c>
      <c r="W139" s="77" t="str">
        <f t="shared" si="27"/>
        <v/>
      </c>
      <c r="X139" s="65" t="str">
        <f t="shared" si="28"/>
        <v/>
      </c>
      <c r="Y139" s="78" t="str">
        <f t="shared" si="29"/>
        <v/>
      </c>
      <c r="Z139" s="21"/>
      <c r="AA139" s="138"/>
      <c r="AB139" s="21"/>
    </row>
    <row r="140" spans="1:28" x14ac:dyDescent="0.25">
      <c r="A140" s="21"/>
      <c r="B140" s="18"/>
      <c r="C140" s="85" t="str">
        <f>IF(B140="","",INDEX(Elements!B:B,MATCH(Design!B140,Elements!A:A,0)))</f>
        <v/>
      </c>
      <c r="D140" s="13"/>
      <c r="E140" s="85" t="str">
        <f>IFERROR(IF(D140="","",INDEX(Elements!J:J,MATCH(Design!D140,Elements!I:I,0))),SUBSTITUTE(D140," ",""))</f>
        <v/>
      </c>
      <c r="F140" s="13"/>
      <c r="G140" s="84" t="str">
        <f>IFERROR(IF(F140="","",INDEX(Elements!L:L,MATCH(Design!F140,Elements!K:K,0))),F140)</f>
        <v/>
      </c>
      <c r="H140" s="12"/>
      <c r="I140" s="14"/>
      <c r="J140" s="63" t="str">
        <f t="shared" ca="1" si="30"/>
        <v>columnHeaders</v>
      </c>
      <c r="K140" s="63">
        <f t="shared" ca="1" si="34"/>
        <v>0</v>
      </c>
      <c r="L140" s="63" t="str">
        <f ca="1">IF(K140="fontFamily","fontFamily",IF(K140="fontSize","fontSize",IFERROR(INDEX(Elements!M:M,MATCH(Design!J140&amp;"|"&amp;Design!K140,Elements!N:N,0)),"")))</f>
        <v/>
      </c>
      <c r="M140" s="65" t="str">
        <f ca="1">IF(OR(L140="",L140="fill"),"",MATCH(IF(L140="enumeration",J140&amp;"|"&amp;G140,Design!L140),Elements!N:N,0))</f>
        <v/>
      </c>
      <c r="N140" s="65" t="str">
        <f t="shared" si="26"/>
        <v/>
      </c>
      <c r="O140" s="65" t="str">
        <f ca="1">"Elements!"&amp;INDEX(Elements!H:H,MATCH(Design!J140,Elements!J:J,0))</f>
        <v>Elements!K36:K44</v>
      </c>
      <c r="P140" s="65" t="str">
        <f t="shared" ca="1" si="33"/>
        <v>"</v>
      </c>
      <c r="Q140" s="75" t="str">
        <f t="shared" si="36"/>
        <v/>
      </c>
      <c r="R140" s="5" t="str">
        <f t="shared" si="37"/>
        <v/>
      </c>
      <c r="S140" s="5" t="str">
        <f t="shared" si="35"/>
        <v/>
      </c>
      <c r="T140" s="76" t="str">
        <f t="shared" si="38"/>
        <v/>
      </c>
      <c r="U140" s="5">
        <f t="shared" si="32"/>
        <v>0</v>
      </c>
      <c r="V140" s="5">
        <f t="shared" si="31"/>
        <v>0</v>
      </c>
      <c r="W140" s="77" t="str">
        <f t="shared" si="27"/>
        <v/>
      </c>
      <c r="X140" s="65" t="str">
        <f t="shared" si="28"/>
        <v/>
      </c>
      <c r="Y140" s="78" t="str">
        <f t="shared" si="29"/>
        <v/>
      </c>
      <c r="Z140" s="21"/>
      <c r="AA140" s="138"/>
      <c r="AB140" s="21"/>
    </row>
    <row r="141" spans="1:28" x14ac:dyDescent="0.25">
      <c r="A141" s="21"/>
      <c r="B141" s="18"/>
      <c r="C141" s="85" t="str">
        <f>IF(B141="","",INDEX(Elements!B:B,MATCH(Design!B141,Elements!A:A,0)))</f>
        <v/>
      </c>
      <c r="D141" s="13"/>
      <c r="E141" s="85" t="str">
        <f>IFERROR(IF(D141="","",INDEX(Elements!J:J,MATCH(Design!D141,Elements!I:I,0))),SUBSTITUTE(D141," ",""))</f>
        <v/>
      </c>
      <c r="F141" s="13"/>
      <c r="G141" s="84" t="str">
        <f>IFERROR(IF(F141="","",INDEX(Elements!L:L,MATCH(Design!F141,Elements!K:K,0))),F141)</f>
        <v/>
      </c>
      <c r="H141" s="12"/>
      <c r="I141" s="14"/>
      <c r="J141" s="63" t="str">
        <f t="shared" ca="1" si="30"/>
        <v>columnHeaders</v>
      </c>
      <c r="K141" s="63">
        <f t="shared" ca="1" si="34"/>
        <v>0</v>
      </c>
      <c r="L141" s="63" t="str">
        <f ca="1">IF(K141="fontFamily","fontFamily",IF(K141="fontSize","fontSize",IFERROR(INDEX(Elements!M:M,MATCH(Design!J141&amp;"|"&amp;Design!K141,Elements!N:N,0)),"")))</f>
        <v/>
      </c>
      <c r="M141" s="65" t="str">
        <f ca="1">IF(OR(L141="",L141="fill"),"",MATCH(IF(L141="enumeration",J141&amp;"|"&amp;G141,Design!L141),Elements!N:N,0))</f>
        <v/>
      </c>
      <c r="N141" s="65" t="str">
        <f t="shared" si="26"/>
        <v/>
      </c>
      <c r="O141" s="65" t="str">
        <f ca="1">"Elements!"&amp;INDEX(Elements!H:H,MATCH(Design!J141,Elements!J:J,0))</f>
        <v>Elements!K36:K44</v>
      </c>
      <c r="P141" s="65" t="str">
        <f t="shared" ca="1" si="33"/>
        <v>"</v>
      </c>
      <c r="Q141" s="75" t="str">
        <f t="shared" si="36"/>
        <v/>
      </c>
      <c r="R141" s="5" t="str">
        <f t="shared" si="37"/>
        <v/>
      </c>
      <c r="S141" s="5" t="str">
        <f t="shared" si="35"/>
        <v/>
      </c>
      <c r="T141" s="76" t="str">
        <f t="shared" si="38"/>
        <v/>
      </c>
      <c r="U141" s="5">
        <f t="shared" si="32"/>
        <v>0</v>
      </c>
      <c r="V141" s="5">
        <f t="shared" si="31"/>
        <v>0</v>
      </c>
      <c r="W141" s="77" t="str">
        <f t="shared" si="27"/>
        <v/>
      </c>
      <c r="X141" s="65" t="str">
        <f t="shared" si="28"/>
        <v/>
      </c>
      <c r="Y141" s="78" t="str">
        <f t="shared" si="29"/>
        <v/>
      </c>
      <c r="Z141" s="21"/>
      <c r="AA141" s="138"/>
      <c r="AB141" s="21"/>
    </row>
    <row r="142" spans="1:28" x14ac:dyDescent="0.25">
      <c r="A142" s="21"/>
      <c r="B142" s="18"/>
      <c r="C142" s="85" t="str">
        <f>IF(B142="","",INDEX(Elements!B:B,MATCH(Design!B142,Elements!A:A,0)))</f>
        <v/>
      </c>
      <c r="D142" s="13"/>
      <c r="E142" s="85" t="str">
        <f>IFERROR(IF(D142="","",INDEX(Elements!J:J,MATCH(Design!D142,Elements!I:I,0))),SUBSTITUTE(D142," ",""))</f>
        <v/>
      </c>
      <c r="F142" s="13"/>
      <c r="G142" s="84" t="str">
        <f>IFERROR(IF(F142="","",INDEX(Elements!L:L,MATCH(Design!F142,Elements!K:K,0))),F142)</f>
        <v/>
      </c>
      <c r="H142" s="12"/>
      <c r="I142" s="14"/>
      <c r="J142" s="63" t="str">
        <f t="shared" ca="1" si="30"/>
        <v>columnHeaders</v>
      </c>
      <c r="K142" s="63">
        <f t="shared" ca="1" si="34"/>
        <v>0</v>
      </c>
      <c r="L142" s="63" t="str">
        <f ca="1">IF(K142="fontFamily","fontFamily",IF(K142="fontSize","fontSize",IFERROR(INDEX(Elements!M:M,MATCH(Design!J142&amp;"|"&amp;Design!K142,Elements!N:N,0)),"")))</f>
        <v/>
      </c>
      <c r="M142" s="65" t="str">
        <f ca="1">IF(OR(L142="",L142="fill"),"",MATCH(IF(L142="enumeration",J142&amp;"|"&amp;G142,Design!L142),Elements!N:N,0))</f>
        <v/>
      </c>
      <c r="N142" s="65" t="str">
        <f t="shared" si="26"/>
        <v/>
      </c>
      <c r="O142" s="65" t="str">
        <f ca="1">"Elements!"&amp;INDEX(Elements!H:H,MATCH(Design!J142,Elements!J:J,0))</f>
        <v>Elements!K36:K44</v>
      </c>
      <c r="P142" s="65" t="str">
        <f t="shared" ca="1" si="33"/>
        <v>"</v>
      </c>
      <c r="Q142" s="75" t="str">
        <f t="shared" si="36"/>
        <v/>
      </c>
      <c r="R142" s="5" t="str">
        <f t="shared" si="37"/>
        <v/>
      </c>
      <c r="S142" s="5" t="str">
        <f t="shared" si="35"/>
        <v/>
      </c>
      <c r="T142" s="76" t="str">
        <f t="shared" si="38"/>
        <v/>
      </c>
      <c r="U142" s="5">
        <f t="shared" si="32"/>
        <v>0</v>
      </c>
      <c r="V142" s="5">
        <f t="shared" si="31"/>
        <v>0</v>
      </c>
      <c r="W142" s="77" t="str">
        <f t="shared" si="27"/>
        <v/>
      </c>
      <c r="X142" s="65" t="str">
        <f t="shared" si="28"/>
        <v/>
      </c>
      <c r="Y142" s="78" t="str">
        <f t="shared" si="29"/>
        <v/>
      </c>
      <c r="Z142" s="21"/>
      <c r="AA142" s="138"/>
      <c r="AB142" s="21"/>
    </row>
    <row r="143" spans="1:28" x14ac:dyDescent="0.25">
      <c r="A143" s="21"/>
      <c r="B143" s="18"/>
      <c r="C143" s="85" t="str">
        <f>IF(B143="","",INDEX(Elements!B:B,MATCH(Design!B143,Elements!A:A,0)))</f>
        <v/>
      </c>
      <c r="D143" s="13"/>
      <c r="E143" s="85" t="str">
        <f>IFERROR(IF(D143="","",INDEX(Elements!J:J,MATCH(Design!D143,Elements!I:I,0))),SUBSTITUTE(D143," ",""))</f>
        <v/>
      </c>
      <c r="F143" s="13"/>
      <c r="G143" s="84" t="str">
        <f>IFERROR(IF(F143="","",INDEX(Elements!L:L,MATCH(Design!F143,Elements!K:K,0))),F143)</f>
        <v/>
      </c>
      <c r="H143" s="12"/>
      <c r="I143" s="14"/>
      <c r="J143" s="63" t="str">
        <f t="shared" ca="1" si="30"/>
        <v>columnHeaders</v>
      </c>
      <c r="K143" s="63">
        <f t="shared" ca="1" si="34"/>
        <v>0</v>
      </c>
      <c r="L143" s="63" t="str">
        <f ca="1">IF(K143="fontFamily","fontFamily",IF(K143="fontSize","fontSize",IFERROR(INDEX(Elements!M:M,MATCH(Design!J143&amp;"|"&amp;Design!K143,Elements!N:N,0)),"")))</f>
        <v/>
      </c>
      <c r="M143" s="65" t="str">
        <f ca="1">IF(OR(L143="",L143="fill"),"",MATCH(IF(L143="enumeration",J143&amp;"|"&amp;G143,Design!L143),Elements!N:N,0))</f>
        <v/>
      </c>
      <c r="N143" s="65" t="str">
        <f t="shared" si="26"/>
        <v/>
      </c>
      <c r="O143" s="65" t="str">
        <f ca="1">"Elements!"&amp;INDEX(Elements!H:H,MATCH(Design!J143,Elements!J:J,0))</f>
        <v>Elements!K36:K44</v>
      </c>
      <c r="P143" s="65" t="str">
        <f t="shared" ca="1" si="33"/>
        <v>"</v>
      </c>
      <c r="Q143" s="75" t="str">
        <f t="shared" si="36"/>
        <v/>
      </c>
      <c r="R143" s="5" t="str">
        <f t="shared" si="37"/>
        <v/>
      </c>
      <c r="S143" s="5" t="str">
        <f t="shared" si="35"/>
        <v/>
      </c>
      <c r="T143" s="76" t="str">
        <f t="shared" si="38"/>
        <v/>
      </c>
      <c r="U143" s="5">
        <f t="shared" si="32"/>
        <v>0</v>
      </c>
      <c r="V143" s="5">
        <f t="shared" si="31"/>
        <v>0</v>
      </c>
      <c r="W143" s="77" t="str">
        <f t="shared" si="27"/>
        <v/>
      </c>
      <c r="X143" s="65" t="str">
        <f t="shared" si="28"/>
        <v/>
      </c>
      <c r="Y143" s="78" t="str">
        <f t="shared" si="29"/>
        <v/>
      </c>
      <c r="Z143" s="21"/>
      <c r="AA143" s="138"/>
      <c r="AB143" s="21"/>
    </row>
    <row r="144" spans="1:28" x14ac:dyDescent="0.25">
      <c r="A144" s="21"/>
      <c r="B144" s="18"/>
      <c r="C144" s="85" t="str">
        <f>IF(B144="","",INDEX(Elements!B:B,MATCH(Design!B144,Elements!A:A,0)))</f>
        <v/>
      </c>
      <c r="D144" s="13"/>
      <c r="E144" s="85" t="str">
        <f>IFERROR(IF(D144="","",INDEX(Elements!J:J,MATCH(Design!D144,Elements!I:I,0))),SUBSTITUTE(D144," ",""))</f>
        <v/>
      </c>
      <c r="F144" s="13"/>
      <c r="G144" s="84" t="str">
        <f>IFERROR(IF(F144="","",INDEX(Elements!L:L,MATCH(Design!F144,Elements!K:K,0))),F144)</f>
        <v/>
      </c>
      <c r="H144" s="12"/>
      <c r="I144" s="14"/>
      <c r="J144" s="63" t="str">
        <f t="shared" ca="1" si="30"/>
        <v>columnHeaders</v>
      </c>
      <c r="K144" s="63">
        <f t="shared" ca="1" si="34"/>
        <v>0</v>
      </c>
      <c r="L144" s="63" t="str">
        <f ca="1">IF(K144="fontFamily","fontFamily",IF(K144="fontSize","fontSize",IFERROR(INDEX(Elements!M:M,MATCH(Design!J144&amp;"|"&amp;Design!K144,Elements!N:N,0)),"")))</f>
        <v/>
      </c>
      <c r="M144" s="65" t="str">
        <f ca="1">IF(OR(L144="",L144="fill"),"",MATCH(IF(L144="enumeration",J144&amp;"|"&amp;G144,Design!L144),Elements!N:N,0))</f>
        <v/>
      </c>
      <c r="N144" s="65" t="str">
        <f t="shared" si="26"/>
        <v/>
      </c>
      <c r="O144" s="65" t="str">
        <f ca="1">"Elements!"&amp;INDEX(Elements!H:H,MATCH(Design!J144,Elements!J:J,0))</f>
        <v>Elements!K36:K44</v>
      </c>
      <c r="P144" s="65" t="str">
        <f t="shared" ca="1" si="33"/>
        <v>"</v>
      </c>
      <c r="Q144" s="75" t="str">
        <f t="shared" si="36"/>
        <v/>
      </c>
      <c r="R144" s="5" t="str">
        <f t="shared" si="37"/>
        <v/>
      </c>
      <c r="S144" s="5" t="str">
        <f t="shared" si="35"/>
        <v/>
      </c>
      <c r="T144" s="76" t="str">
        <f t="shared" si="38"/>
        <v/>
      </c>
      <c r="U144" s="5">
        <f t="shared" si="32"/>
        <v>0</v>
      </c>
      <c r="V144" s="5">
        <f t="shared" si="31"/>
        <v>0</v>
      </c>
      <c r="W144" s="77" t="str">
        <f t="shared" si="27"/>
        <v/>
      </c>
      <c r="X144" s="65" t="str">
        <f t="shared" si="28"/>
        <v/>
      </c>
      <c r="Y144" s="78" t="str">
        <f t="shared" si="29"/>
        <v/>
      </c>
      <c r="Z144" s="21"/>
      <c r="AA144" s="138"/>
      <c r="AB144" s="21"/>
    </row>
    <row r="145" spans="1:28" x14ac:dyDescent="0.25">
      <c r="A145" s="21"/>
      <c r="B145" s="18"/>
      <c r="C145" s="85" t="str">
        <f>IF(B145="","",INDEX(Elements!B:B,MATCH(Design!B145,Elements!A:A,0)))</f>
        <v/>
      </c>
      <c r="D145" s="13"/>
      <c r="E145" s="85" t="str">
        <f>IFERROR(IF(D145="","",INDEX(Elements!J:J,MATCH(Design!D145,Elements!I:I,0))),SUBSTITUTE(D145," ",""))</f>
        <v/>
      </c>
      <c r="F145" s="13"/>
      <c r="G145" s="84" t="str">
        <f>IFERROR(IF(F145="","",INDEX(Elements!L:L,MATCH(Design!F145,Elements!K:K,0))),F145)</f>
        <v/>
      </c>
      <c r="H145" s="12"/>
      <c r="I145" s="14"/>
      <c r="J145" s="63" t="str">
        <f t="shared" ca="1" si="30"/>
        <v>columnHeaders</v>
      </c>
      <c r="K145" s="63">
        <f t="shared" ca="1" si="34"/>
        <v>0</v>
      </c>
      <c r="L145" s="63" t="str">
        <f ca="1">IF(K145="fontFamily","fontFamily",IF(K145="fontSize","fontSize",IFERROR(INDEX(Elements!M:M,MATCH(Design!J145&amp;"|"&amp;Design!K145,Elements!N:N,0)),"")))</f>
        <v/>
      </c>
      <c r="M145" s="65" t="str">
        <f ca="1">IF(OR(L145="",L145="fill"),"",MATCH(IF(L145="enumeration",J145&amp;"|"&amp;G145,Design!L145),Elements!N:N,0))</f>
        <v/>
      </c>
      <c r="N145" s="65" t="str">
        <f t="shared" ref="N145:N208" si="39">IF(G145="","",IFERROR(IF(L145="fill","Design!$C$8:$H$9",IF(M145="","Design!$A$1","Elements!O"&amp;M145&amp;":AZ"&amp;M145)),"Design!$A$1"))</f>
        <v/>
      </c>
      <c r="O145" s="65" t="str">
        <f ca="1">"Elements!"&amp;INDEX(Elements!H:H,MATCH(Design!J145,Elements!J:J,0))</f>
        <v>Elements!K36:K44</v>
      </c>
      <c r="P145" s="65" t="str">
        <f t="shared" ca="1" si="33"/>
        <v>"</v>
      </c>
      <c r="Q145" s="75" t="str">
        <f t="shared" si="36"/>
        <v/>
      </c>
      <c r="R145" s="5" t="str">
        <f t="shared" si="37"/>
        <v/>
      </c>
      <c r="S145" s="5" t="str">
        <f t="shared" si="35"/>
        <v/>
      </c>
      <c r="T145" s="76" t="str">
        <f t="shared" si="38"/>
        <v/>
      </c>
      <c r="U145" s="5">
        <f t="shared" si="32"/>
        <v>0</v>
      </c>
      <c r="V145" s="5">
        <f t="shared" si="31"/>
        <v>0</v>
      </c>
      <c r="W145" s="77" t="str">
        <f t="shared" si="27"/>
        <v/>
      </c>
      <c r="X145" s="65" t="str">
        <f t="shared" si="28"/>
        <v/>
      </c>
      <c r="Y145" s="78" t="str">
        <f t="shared" si="29"/>
        <v/>
      </c>
      <c r="Z145" s="21"/>
      <c r="AA145" s="138"/>
      <c r="AB145" s="21"/>
    </row>
    <row r="146" spans="1:28" x14ac:dyDescent="0.25">
      <c r="A146" s="21"/>
      <c r="B146" s="18"/>
      <c r="C146" s="85" t="str">
        <f>IF(B146="","",INDEX(Elements!B:B,MATCH(Design!B146,Elements!A:A,0)))</f>
        <v/>
      </c>
      <c r="D146" s="13"/>
      <c r="E146" s="85" t="str">
        <f>IFERROR(IF(D146="","",INDEX(Elements!J:J,MATCH(Design!D146,Elements!I:I,0))),SUBSTITUTE(D146," ",""))</f>
        <v/>
      </c>
      <c r="F146" s="13"/>
      <c r="G146" s="84" t="str">
        <f>IFERROR(IF(F146="","",INDEX(Elements!L:L,MATCH(Design!F146,Elements!K:K,0))),F146)</f>
        <v/>
      </c>
      <c r="H146" s="12"/>
      <c r="I146" s="14"/>
      <c r="J146" s="63" t="str">
        <f t="shared" ca="1" si="30"/>
        <v>columnHeaders</v>
      </c>
      <c r="K146" s="63">
        <f t="shared" ca="1" si="34"/>
        <v>0</v>
      </c>
      <c r="L146" s="63" t="str">
        <f ca="1">IF(K146="fontFamily","fontFamily",IF(K146="fontSize","fontSize",IFERROR(INDEX(Elements!M:M,MATCH(Design!J146&amp;"|"&amp;Design!K146,Elements!N:N,0)),"")))</f>
        <v/>
      </c>
      <c r="M146" s="65" t="str">
        <f ca="1">IF(OR(L146="",L146="fill"),"",MATCH(IF(L146="enumeration",J146&amp;"|"&amp;G146,Design!L146),Elements!N:N,0))</f>
        <v/>
      </c>
      <c r="N146" s="65" t="str">
        <f t="shared" si="39"/>
        <v/>
      </c>
      <c r="O146" s="65" t="str">
        <f ca="1">"Elements!"&amp;INDEX(Elements!H:H,MATCH(Design!J146,Elements!J:J,0))</f>
        <v>Elements!K36:K44</v>
      </c>
      <c r="P146" s="65" t="str">
        <f t="shared" ca="1" si="33"/>
        <v>"</v>
      </c>
      <c r="Q146" s="75" t="str">
        <f t="shared" si="36"/>
        <v/>
      </c>
      <c r="R146" s="5" t="str">
        <f t="shared" si="37"/>
        <v/>
      </c>
      <c r="S146" s="5" t="str">
        <f t="shared" si="35"/>
        <v/>
      </c>
      <c r="T146" s="76" t="str">
        <f t="shared" si="38"/>
        <v/>
      </c>
      <c r="U146" s="5">
        <f t="shared" si="32"/>
        <v>0</v>
      </c>
      <c r="V146" s="5">
        <f t="shared" si="31"/>
        <v>0</v>
      </c>
      <c r="W146" s="77" t="str">
        <f t="shared" ref="W146:W209" si="40">IF(LEFT(H146,1)&lt;&gt;"#","",HEX2DEC(RIGHT(H146,2)))</f>
        <v/>
      </c>
      <c r="X146" s="65" t="str">
        <f t="shared" ref="X146:X209" si="41">IF(LEFT(H146,1)&lt;&gt;"#","",HEX2DEC(MID(H146,4,2)))</f>
        <v/>
      </c>
      <c r="Y146" s="78" t="str">
        <f t="shared" ref="Y146:Y209" si="42">IF(LEFT(H146,1)&lt;&gt;"#","",HEX2DEC(MID(H146,2,2)))</f>
        <v/>
      </c>
      <c r="Z146" s="21"/>
      <c r="AA146" s="138"/>
      <c r="AB146" s="21"/>
    </row>
    <row r="147" spans="1:28" x14ac:dyDescent="0.25">
      <c r="A147" s="21"/>
      <c r="B147" s="18"/>
      <c r="C147" s="85" t="str">
        <f>IF(B147="","",INDEX(Elements!B:B,MATCH(Design!B147,Elements!A:A,0)))</f>
        <v/>
      </c>
      <c r="D147" s="13"/>
      <c r="E147" s="85" t="str">
        <f>IFERROR(IF(D147="","",INDEX(Elements!J:J,MATCH(Design!D147,Elements!I:I,0))),SUBSTITUTE(D147," ",""))</f>
        <v/>
      </c>
      <c r="F147" s="13"/>
      <c r="G147" s="84" t="str">
        <f>IFERROR(IF(F147="","",INDEX(Elements!L:L,MATCH(Design!F147,Elements!K:K,0))),F147)</f>
        <v/>
      </c>
      <c r="H147" s="12"/>
      <c r="I147" s="14"/>
      <c r="J147" s="63" t="str">
        <f t="shared" ca="1" si="30"/>
        <v>columnHeaders</v>
      </c>
      <c r="K147" s="63">
        <f t="shared" ca="1" si="34"/>
        <v>0</v>
      </c>
      <c r="L147" s="63" t="str">
        <f ca="1">IF(K147="fontFamily","fontFamily",IF(K147="fontSize","fontSize",IFERROR(INDEX(Elements!M:M,MATCH(Design!J147&amp;"|"&amp;Design!K147,Elements!N:N,0)),"")))</f>
        <v/>
      </c>
      <c r="M147" s="65" t="str">
        <f ca="1">IF(OR(L147="",L147="fill"),"",MATCH(IF(L147="enumeration",J147&amp;"|"&amp;G147,Design!L147),Elements!N:N,0))</f>
        <v/>
      </c>
      <c r="N147" s="65" t="str">
        <f t="shared" si="39"/>
        <v/>
      </c>
      <c r="O147" s="65" t="str">
        <f ca="1">"Elements!"&amp;INDEX(Elements!H:H,MATCH(Design!J147,Elements!J:J,0))</f>
        <v>Elements!K36:K44</v>
      </c>
      <c r="P147" s="65" t="str">
        <f t="shared" ca="1" si="33"/>
        <v>"</v>
      </c>
      <c r="Q147" s="75" t="str">
        <f t="shared" si="36"/>
        <v/>
      </c>
      <c r="R147" s="5" t="str">
        <f t="shared" si="37"/>
        <v/>
      </c>
      <c r="S147" s="5" t="str">
        <f t="shared" si="35"/>
        <v/>
      </c>
      <c r="T147" s="76" t="str">
        <f t="shared" si="38"/>
        <v/>
      </c>
      <c r="U147" s="5">
        <f t="shared" si="32"/>
        <v>0</v>
      </c>
      <c r="V147" s="5">
        <f t="shared" si="31"/>
        <v>0</v>
      </c>
      <c r="W147" s="77" t="str">
        <f t="shared" si="40"/>
        <v/>
      </c>
      <c r="X147" s="65" t="str">
        <f t="shared" si="41"/>
        <v/>
      </c>
      <c r="Y147" s="78" t="str">
        <f t="shared" si="42"/>
        <v/>
      </c>
      <c r="Z147" s="21"/>
      <c r="AA147" s="138"/>
      <c r="AB147" s="21"/>
    </row>
    <row r="148" spans="1:28" x14ac:dyDescent="0.25">
      <c r="A148" s="21"/>
      <c r="B148" s="18"/>
      <c r="C148" s="85" t="str">
        <f>IF(B148="","",INDEX(Elements!B:B,MATCH(Design!B148,Elements!A:A,0)))</f>
        <v/>
      </c>
      <c r="D148" s="13"/>
      <c r="E148" s="85" t="str">
        <f>IFERROR(IF(D148="","",INDEX(Elements!J:J,MATCH(Design!D148,Elements!I:I,0))),SUBSTITUTE(D148," ",""))</f>
        <v/>
      </c>
      <c r="F148" s="13"/>
      <c r="G148" s="84" t="str">
        <f>IFERROR(IF(F148="","",INDEX(Elements!L:L,MATCH(Design!F148,Elements!K:K,0))),F148)</f>
        <v/>
      </c>
      <c r="H148" s="12"/>
      <c r="I148" s="14"/>
      <c r="J148" s="63" t="str">
        <f t="shared" ca="1" si="30"/>
        <v>columnHeaders</v>
      </c>
      <c r="K148" s="63">
        <f t="shared" ca="1" si="34"/>
        <v>0</v>
      </c>
      <c r="L148" s="63" t="str">
        <f ca="1">IF(K148="fontFamily","fontFamily",IF(K148="fontSize","fontSize",IFERROR(INDEX(Elements!M:M,MATCH(Design!J148&amp;"|"&amp;Design!K148,Elements!N:N,0)),"")))</f>
        <v/>
      </c>
      <c r="M148" s="65" t="str">
        <f ca="1">IF(OR(L148="",L148="fill"),"",MATCH(IF(L148="enumeration",J148&amp;"|"&amp;G148,Design!L148),Elements!N:N,0))</f>
        <v/>
      </c>
      <c r="N148" s="65" t="str">
        <f t="shared" si="39"/>
        <v/>
      </c>
      <c r="O148" s="65" t="str">
        <f ca="1">"Elements!"&amp;INDEX(Elements!H:H,MATCH(Design!J148,Elements!J:J,0))</f>
        <v>Elements!K36:K44</v>
      </c>
      <c r="P148" s="65" t="str">
        <f t="shared" ca="1" si="33"/>
        <v>"</v>
      </c>
      <c r="Q148" s="75" t="str">
        <f t="shared" si="36"/>
        <v/>
      </c>
      <c r="R148" s="5" t="str">
        <f t="shared" si="37"/>
        <v/>
      </c>
      <c r="S148" s="5" t="str">
        <f t="shared" si="35"/>
        <v/>
      </c>
      <c r="T148" s="76" t="str">
        <f t="shared" si="38"/>
        <v/>
      </c>
      <c r="U148" s="5">
        <f t="shared" si="32"/>
        <v>0</v>
      </c>
      <c r="V148" s="5">
        <f t="shared" si="31"/>
        <v>0</v>
      </c>
      <c r="W148" s="77" t="str">
        <f t="shared" si="40"/>
        <v/>
      </c>
      <c r="X148" s="65" t="str">
        <f t="shared" si="41"/>
        <v/>
      </c>
      <c r="Y148" s="78" t="str">
        <f t="shared" si="42"/>
        <v/>
      </c>
      <c r="Z148" s="21"/>
      <c r="AA148" s="138"/>
      <c r="AB148" s="21"/>
    </row>
    <row r="149" spans="1:28" x14ac:dyDescent="0.25">
      <c r="A149" s="21"/>
      <c r="B149" s="18"/>
      <c r="C149" s="85" t="str">
        <f>IF(B149="","",INDEX(Elements!B:B,MATCH(Design!B149,Elements!A:A,0)))</f>
        <v/>
      </c>
      <c r="D149" s="13"/>
      <c r="E149" s="85" t="str">
        <f>IFERROR(IF(D149="","",INDEX(Elements!J:J,MATCH(Design!D149,Elements!I:I,0))),SUBSTITUTE(D149," ",""))</f>
        <v/>
      </c>
      <c r="F149" s="13"/>
      <c r="G149" s="84" t="str">
        <f>IFERROR(IF(F149="","",INDEX(Elements!L:L,MATCH(Design!F149,Elements!K:K,0))),F149)</f>
        <v/>
      </c>
      <c r="H149" s="12"/>
      <c r="I149" s="14"/>
      <c r="J149" s="63" t="str">
        <f t="shared" ca="1" si="30"/>
        <v>columnHeaders</v>
      </c>
      <c r="K149" s="63">
        <f t="shared" ca="1" si="34"/>
        <v>0</v>
      </c>
      <c r="L149" s="63" t="str">
        <f ca="1">IF(K149="fontFamily","fontFamily",IF(K149="fontSize","fontSize",IFERROR(INDEX(Elements!M:M,MATCH(Design!J149&amp;"|"&amp;Design!K149,Elements!N:N,0)),"")))</f>
        <v/>
      </c>
      <c r="M149" s="65" t="str">
        <f ca="1">IF(OR(L149="",L149="fill"),"",MATCH(IF(L149="enumeration",J149&amp;"|"&amp;G149,Design!L149),Elements!N:N,0))</f>
        <v/>
      </c>
      <c r="N149" s="65" t="str">
        <f t="shared" si="39"/>
        <v/>
      </c>
      <c r="O149" s="65" t="str">
        <f ca="1">"Elements!"&amp;INDEX(Elements!H:H,MATCH(Design!J149,Elements!J:J,0))</f>
        <v>Elements!K36:K44</v>
      </c>
      <c r="P149" s="65" t="str">
        <f t="shared" ca="1" si="33"/>
        <v>"</v>
      </c>
      <c r="Q149" s="75" t="str">
        <f t="shared" si="36"/>
        <v/>
      </c>
      <c r="R149" s="5" t="str">
        <f t="shared" si="37"/>
        <v/>
      </c>
      <c r="S149" s="5" t="str">
        <f t="shared" si="35"/>
        <v/>
      </c>
      <c r="T149" s="76" t="str">
        <f t="shared" si="38"/>
        <v/>
      </c>
      <c r="U149" s="5">
        <f t="shared" si="32"/>
        <v>0</v>
      </c>
      <c r="V149" s="5">
        <f t="shared" si="31"/>
        <v>0</v>
      </c>
      <c r="W149" s="77" t="str">
        <f t="shared" si="40"/>
        <v/>
      </c>
      <c r="X149" s="65" t="str">
        <f t="shared" si="41"/>
        <v/>
      </c>
      <c r="Y149" s="78" t="str">
        <f t="shared" si="42"/>
        <v/>
      </c>
      <c r="Z149" s="21"/>
      <c r="AA149" s="138"/>
      <c r="AB149" s="21"/>
    </row>
    <row r="150" spans="1:28" x14ac:dyDescent="0.25">
      <c r="A150" s="21"/>
      <c r="B150" s="18"/>
      <c r="C150" s="85" t="str">
        <f>IF(B150="","",INDEX(Elements!B:B,MATCH(Design!B150,Elements!A:A,0)))</f>
        <v/>
      </c>
      <c r="D150" s="13"/>
      <c r="E150" s="85" t="str">
        <f>IFERROR(IF(D150="","",INDEX(Elements!J:J,MATCH(Design!D150,Elements!I:I,0))),SUBSTITUTE(D150," ",""))</f>
        <v/>
      </c>
      <c r="F150" s="13"/>
      <c r="G150" s="84" t="str">
        <f>IFERROR(IF(F150="","",INDEX(Elements!L:L,MATCH(Design!F150,Elements!K:K,0))),F150)</f>
        <v/>
      </c>
      <c r="H150" s="12"/>
      <c r="I150" s="14"/>
      <c r="J150" s="63" t="str">
        <f t="shared" ca="1" si="30"/>
        <v>columnHeaders</v>
      </c>
      <c r="K150" s="63">
        <f t="shared" ca="1" si="34"/>
        <v>0</v>
      </c>
      <c r="L150" s="63" t="str">
        <f ca="1">IF(K150="fontFamily","fontFamily",IF(K150="fontSize","fontSize",IFERROR(INDEX(Elements!M:M,MATCH(Design!J150&amp;"|"&amp;Design!K150,Elements!N:N,0)),"")))</f>
        <v/>
      </c>
      <c r="M150" s="65" t="str">
        <f ca="1">IF(OR(L150="",L150="fill"),"",MATCH(IF(L150="enumeration",J150&amp;"|"&amp;G150,Design!L150),Elements!N:N,0))</f>
        <v/>
      </c>
      <c r="N150" s="65" t="str">
        <f t="shared" si="39"/>
        <v/>
      </c>
      <c r="O150" s="65" t="str">
        <f ca="1">"Elements!"&amp;INDEX(Elements!H:H,MATCH(Design!J150,Elements!J:J,0))</f>
        <v>Elements!K36:K44</v>
      </c>
      <c r="P150" s="65" t="str">
        <f t="shared" ca="1" si="33"/>
        <v>"</v>
      </c>
      <c r="Q150" s="75" t="str">
        <f t="shared" si="36"/>
        <v/>
      </c>
      <c r="R150" s="5" t="str">
        <f t="shared" si="37"/>
        <v/>
      </c>
      <c r="S150" s="5" t="str">
        <f t="shared" si="35"/>
        <v/>
      </c>
      <c r="T150" s="76" t="str">
        <f t="shared" si="38"/>
        <v/>
      </c>
      <c r="U150" s="5">
        <f t="shared" si="32"/>
        <v>0</v>
      </c>
      <c r="V150" s="5">
        <f t="shared" si="31"/>
        <v>0</v>
      </c>
      <c r="W150" s="77" t="str">
        <f t="shared" si="40"/>
        <v/>
      </c>
      <c r="X150" s="65" t="str">
        <f t="shared" si="41"/>
        <v/>
      </c>
      <c r="Y150" s="78" t="str">
        <f t="shared" si="42"/>
        <v/>
      </c>
      <c r="Z150" s="21"/>
      <c r="AA150" s="138"/>
      <c r="AB150" s="21"/>
    </row>
    <row r="151" spans="1:28" x14ac:dyDescent="0.25">
      <c r="A151" s="21"/>
      <c r="B151" s="18"/>
      <c r="C151" s="85" t="str">
        <f>IF(B151="","",INDEX(Elements!B:B,MATCH(Design!B151,Elements!A:A,0)))</f>
        <v/>
      </c>
      <c r="D151" s="13"/>
      <c r="E151" s="85" t="str">
        <f>IFERROR(IF(D151="","",INDEX(Elements!J:J,MATCH(Design!D151,Elements!I:I,0))),SUBSTITUTE(D151," ",""))</f>
        <v/>
      </c>
      <c r="F151" s="13"/>
      <c r="G151" s="84" t="str">
        <f>IFERROR(IF(F151="","",INDEX(Elements!L:L,MATCH(Design!F151,Elements!K:K,0))),F151)</f>
        <v/>
      </c>
      <c r="H151" s="12"/>
      <c r="I151" s="14"/>
      <c r="J151" s="63" t="str">
        <f t="shared" ref="J151:J214" ca="1" si="43">IF(E151="",INDIRECT("J"&amp;ROW()-1),E151)</f>
        <v>columnHeaders</v>
      </c>
      <c r="K151" s="63">
        <f t="shared" ca="1" si="34"/>
        <v>0</v>
      </c>
      <c r="L151" s="63" t="str">
        <f ca="1">IF(K151="fontFamily","fontFamily",IF(K151="fontSize","fontSize",IFERROR(INDEX(Elements!M:M,MATCH(Design!J151&amp;"|"&amp;Design!K151,Elements!N:N,0)),"")))</f>
        <v/>
      </c>
      <c r="M151" s="65" t="str">
        <f ca="1">IF(OR(L151="",L151="fill"),"",MATCH(IF(L151="enumeration",J151&amp;"|"&amp;G151,Design!L151),Elements!N:N,0))</f>
        <v/>
      </c>
      <c r="N151" s="65" t="str">
        <f t="shared" si="39"/>
        <v/>
      </c>
      <c r="O151" s="65" t="str">
        <f ca="1">"Elements!"&amp;INDEX(Elements!H:H,MATCH(Design!J151,Elements!J:J,0))</f>
        <v>Elements!K36:K44</v>
      </c>
      <c r="P151" s="65" t="str">
        <f t="shared" ca="1" si="33"/>
        <v>"</v>
      </c>
      <c r="Q151" s="75" t="str">
        <f t="shared" si="36"/>
        <v/>
      </c>
      <c r="R151" s="5" t="str">
        <f t="shared" si="37"/>
        <v/>
      </c>
      <c r="S151" s="5" t="str">
        <f t="shared" si="35"/>
        <v/>
      </c>
      <c r="T151" s="76" t="str">
        <f t="shared" si="38"/>
        <v/>
      </c>
      <c r="U151" s="5">
        <f t="shared" si="32"/>
        <v>0</v>
      </c>
      <c r="V151" s="5">
        <f t="shared" si="32"/>
        <v>0</v>
      </c>
      <c r="W151" s="77" t="str">
        <f t="shared" si="40"/>
        <v/>
      </c>
      <c r="X151" s="65" t="str">
        <f t="shared" si="41"/>
        <v/>
      </c>
      <c r="Y151" s="78" t="str">
        <f t="shared" si="42"/>
        <v/>
      </c>
      <c r="Z151" s="21"/>
      <c r="AA151" s="138"/>
      <c r="AB151" s="21"/>
    </row>
    <row r="152" spans="1:28" x14ac:dyDescent="0.25">
      <c r="A152" s="21"/>
      <c r="B152" s="18"/>
      <c r="C152" s="85" t="str">
        <f>IF(B152="","",INDEX(Elements!B:B,MATCH(Design!B152,Elements!A:A,0)))</f>
        <v/>
      </c>
      <c r="D152" s="13"/>
      <c r="E152" s="85" t="str">
        <f>IFERROR(IF(D152="","",INDEX(Elements!J:J,MATCH(Design!D152,Elements!I:I,0))),SUBSTITUTE(D152," ",""))</f>
        <v/>
      </c>
      <c r="F152" s="13"/>
      <c r="G152" s="84" t="str">
        <f>IFERROR(IF(F152="","",INDEX(Elements!L:L,MATCH(Design!F152,Elements!K:K,0))),F152)</f>
        <v/>
      </c>
      <c r="H152" s="12"/>
      <c r="I152" s="14"/>
      <c r="J152" s="63" t="str">
        <f t="shared" ca="1" si="43"/>
        <v>columnHeaders</v>
      </c>
      <c r="K152" s="63">
        <f t="shared" ca="1" si="34"/>
        <v>0</v>
      </c>
      <c r="L152" s="63" t="str">
        <f ca="1">IF(K152="fontFamily","fontFamily",IF(K152="fontSize","fontSize",IFERROR(INDEX(Elements!M:M,MATCH(Design!J152&amp;"|"&amp;Design!K152,Elements!N:N,0)),"")))</f>
        <v/>
      </c>
      <c r="M152" s="65" t="str">
        <f ca="1">IF(OR(L152="",L152="fill"),"",MATCH(IF(L152="enumeration",J152&amp;"|"&amp;G152,Design!L152),Elements!N:N,0))</f>
        <v/>
      </c>
      <c r="N152" s="65" t="str">
        <f t="shared" si="39"/>
        <v/>
      </c>
      <c r="O152" s="65" t="str">
        <f ca="1">"Elements!"&amp;INDEX(Elements!H:H,MATCH(Design!J152,Elements!J:J,0))</f>
        <v>Elements!K36:K44</v>
      </c>
      <c r="P152" s="65" t="str">
        <f t="shared" ca="1" si="33"/>
        <v>"</v>
      </c>
      <c r="Q152" s="75" t="str">
        <f t="shared" si="36"/>
        <v/>
      </c>
      <c r="R152" s="5" t="str">
        <f t="shared" si="37"/>
        <v/>
      </c>
      <c r="S152" s="5" t="str">
        <f t="shared" si="35"/>
        <v/>
      </c>
      <c r="T152" s="76" t="str">
        <f t="shared" si="38"/>
        <v/>
      </c>
      <c r="U152" s="5">
        <f t="shared" ref="U152:V215" si="44">SUMPRODUCT(LEN($T152)-LEN(SUBSTITUTE($T152,U$2,"")))</f>
        <v>0</v>
      </c>
      <c r="V152" s="5">
        <f t="shared" si="44"/>
        <v>0</v>
      </c>
      <c r="W152" s="77" t="str">
        <f t="shared" si="40"/>
        <v/>
      </c>
      <c r="X152" s="65" t="str">
        <f t="shared" si="41"/>
        <v/>
      </c>
      <c r="Y152" s="78" t="str">
        <f t="shared" si="42"/>
        <v/>
      </c>
      <c r="Z152" s="21"/>
      <c r="AA152" s="138"/>
      <c r="AB152" s="21"/>
    </row>
    <row r="153" spans="1:28" x14ac:dyDescent="0.25">
      <c r="A153" s="21"/>
      <c r="B153" s="18"/>
      <c r="C153" s="85" t="str">
        <f>IF(B153="","",INDEX(Elements!B:B,MATCH(Design!B153,Elements!A:A,0)))</f>
        <v/>
      </c>
      <c r="D153" s="13"/>
      <c r="E153" s="85" t="str">
        <f>IFERROR(IF(D153="","",INDEX(Elements!J:J,MATCH(Design!D153,Elements!I:I,0))),SUBSTITUTE(D153," ",""))</f>
        <v/>
      </c>
      <c r="F153" s="13"/>
      <c r="G153" s="84" t="str">
        <f>IFERROR(IF(F153="","",INDEX(Elements!L:L,MATCH(Design!F153,Elements!K:K,0))),F153)</f>
        <v/>
      </c>
      <c r="H153" s="12"/>
      <c r="I153" s="14"/>
      <c r="J153" s="63" t="str">
        <f t="shared" ca="1" si="43"/>
        <v>columnHeaders</v>
      </c>
      <c r="K153" s="63">
        <f t="shared" ca="1" si="34"/>
        <v>0</v>
      </c>
      <c r="L153" s="63" t="str">
        <f ca="1">IF(K153="fontFamily","fontFamily",IF(K153="fontSize","fontSize",IFERROR(INDEX(Elements!M:M,MATCH(Design!J153&amp;"|"&amp;Design!K153,Elements!N:N,0)),"")))</f>
        <v/>
      </c>
      <c r="M153" s="65" t="str">
        <f ca="1">IF(OR(L153="",L153="fill"),"",MATCH(IF(L153="enumeration",J153&amp;"|"&amp;G153,Design!L153),Elements!N:N,0))</f>
        <v/>
      </c>
      <c r="N153" s="65" t="str">
        <f t="shared" si="39"/>
        <v/>
      </c>
      <c r="O153" s="65" t="str">
        <f ca="1">"Elements!"&amp;INDEX(Elements!H:H,MATCH(Design!J153,Elements!J:J,0))</f>
        <v>Elements!K36:K44</v>
      </c>
      <c r="P153" s="65" t="str">
        <f t="shared" ref="P153:P216" ca="1" si="45">IF(OR(L153="bool",L153="numeric",L153="formatting"),"",CHAR(34))</f>
        <v>"</v>
      </c>
      <c r="Q153" s="75" t="str">
        <f t="shared" si="36"/>
        <v/>
      </c>
      <c r="R153" s="5" t="str">
        <f t="shared" si="37"/>
        <v/>
      </c>
      <c r="S153" s="5" t="str">
        <f t="shared" si="35"/>
        <v/>
      </c>
      <c r="T153" s="76" t="str">
        <f t="shared" si="38"/>
        <v/>
      </c>
      <c r="U153" s="5">
        <f t="shared" si="44"/>
        <v>0</v>
      </c>
      <c r="V153" s="5">
        <f t="shared" si="44"/>
        <v>0</v>
      </c>
      <c r="W153" s="77" t="str">
        <f t="shared" si="40"/>
        <v/>
      </c>
      <c r="X153" s="65" t="str">
        <f t="shared" si="41"/>
        <v/>
      </c>
      <c r="Y153" s="78" t="str">
        <f t="shared" si="42"/>
        <v/>
      </c>
      <c r="Z153" s="21"/>
      <c r="AA153" s="138"/>
      <c r="AB153" s="21"/>
    </row>
    <row r="154" spans="1:28" x14ac:dyDescent="0.25">
      <c r="A154" s="21"/>
      <c r="B154" s="18"/>
      <c r="C154" s="85" t="str">
        <f>IF(B154="","",INDEX(Elements!B:B,MATCH(Design!B154,Elements!A:A,0)))</f>
        <v/>
      </c>
      <c r="D154" s="13"/>
      <c r="E154" s="85" t="str">
        <f>IFERROR(IF(D154="","",INDEX(Elements!J:J,MATCH(Design!D154,Elements!I:I,0))),SUBSTITUTE(D154," ",""))</f>
        <v/>
      </c>
      <c r="F154" s="13"/>
      <c r="G154" s="84" t="str">
        <f>IFERROR(IF(F154="","",INDEX(Elements!L:L,MATCH(Design!F154,Elements!K:K,0))),F154)</f>
        <v/>
      </c>
      <c r="H154" s="12"/>
      <c r="I154" s="14"/>
      <c r="J154" s="63" t="str">
        <f t="shared" ca="1" si="43"/>
        <v>columnHeaders</v>
      </c>
      <c r="K154" s="63">
        <f t="shared" ca="1" si="34"/>
        <v>0</v>
      </c>
      <c r="L154" s="63" t="str">
        <f ca="1">IF(K154="fontFamily","fontFamily",IF(K154="fontSize","fontSize",IFERROR(INDEX(Elements!M:M,MATCH(Design!J154&amp;"|"&amp;Design!K154,Elements!N:N,0)),"")))</f>
        <v/>
      </c>
      <c r="M154" s="65" t="str">
        <f ca="1">IF(OR(L154="",L154="fill"),"",MATCH(IF(L154="enumeration",J154&amp;"|"&amp;G154,Design!L154),Elements!N:N,0))</f>
        <v/>
      </c>
      <c r="N154" s="65" t="str">
        <f t="shared" si="39"/>
        <v/>
      </c>
      <c r="O154" s="65" t="str">
        <f ca="1">"Elements!"&amp;INDEX(Elements!H:H,MATCH(Design!J154,Elements!J:J,0))</f>
        <v>Elements!K36:K44</v>
      </c>
      <c r="P154" s="65" t="str">
        <f t="shared" ca="1" si="45"/>
        <v>"</v>
      </c>
      <c r="Q154" s="75" t="str">
        <f t="shared" si="36"/>
        <v/>
      </c>
      <c r="R154" s="5" t="str">
        <f t="shared" si="37"/>
        <v/>
      </c>
      <c r="S154" s="5" t="str">
        <f t="shared" si="35"/>
        <v/>
      </c>
      <c r="T154" s="76" t="str">
        <f t="shared" si="38"/>
        <v/>
      </c>
      <c r="U154" s="5">
        <f t="shared" si="44"/>
        <v>0</v>
      </c>
      <c r="V154" s="5">
        <f t="shared" si="44"/>
        <v>0</v>
      </c>
      <c r="W154" s="77" t="str">
        <f t="shared" si="40"/>
        <v/>
      </c>
      <c r="X154" s="65" t="str">
        <f t="shared" si="41"/>
        <v/>
      </c>
      <c r="Y154" s="78" t="str">
        <f t="shared" si="42"/>
        <v/>
      </c>
      <c r="Z154" s="21"/>
      <c r="AA154" s="138"/>
      <c r="AB154" s="21"/>
    </row>
    <row r="155" spans="1:28" x14ac:dyDescent="0.25">
      <c r="A155" s="21"/>
      <c r="B155" s="18"/>
      <c r="C155" s="85" t="str">
        <f>IF(B155="","",INDEX(Elements!B:B,MATCH(Design!B155,Elements!A:A,0)))</f>
        <v/>
      </c>
      <c r="D155" s="13"/>
      <c r="E155" s="85" t="str">
        <f>IFERROR(IF(D155="","",INDEX(Elements!J:J,MATCH(Design!D155,Elements!I:I,0))),SUBSTITUTE(D155," ",""))</f>
        <v/>
      </c>
      <c r="F155" s="13"/>
      <c r="G155" s="84" t="str">
        <f>IFERROR(IF(F155="","",INDEX(Elements!L:L,MATCH(Design!F155,Elements!K:K,0))),F155)</f>
        <v/>
      </c>
      <c r="H155" s="12"/>
      <c r="I155" s="14"/>
      <c r="J155" s="63" t="str">
        <f t="shared" ca="1" si="43"/>
        <v>columnHeaders</v>
      </c>
      <c r="K155" s="63">
        <f t="shared" ca="1" si="34"/>
        <v>0</v>
      </c>
      <c r="L155" s="63" t="str">
        <f ca="1">IF(K155="fontFamily","fontFamily",IF(K155="fontSize","fontSize",IFERROR(INDEX(Elements!M:M,MATCH(Design!J155&amp;"|"&amp;Design!K155,Elements!N:N,0)),"")))</f>
        <v/>
      </c>
      <c r="M155" s="65" t="str">
        <f ca="1">IF(OR(L155="",L155="fill"),"",MATCH(IF(L155="enumeration",J155&amp;"|"&amp;G155,Design!L155),Elements!N:N,0))</f>
        <v/>
      </c>
      <c r="N155" s="65" t="str">
        <f t="shared" si="39"/>
        <v/>
      </c>
      <c r="O155" s="65" t="str">
        <f ca="1">"Elements!"&amp;INDEX(Elements!H:H,MATCH(Design!J155,Elements!J:J,0))</f>
        <v>Elements!K36:K44</v>
      </c>
      <c r="P155" s="65" t="str">
        <f t="shared" ca="1" si="45"/>
        <v>"</v>
      </c>
      <c r="Q155" s="75" t="str">
        <f t="shared" si="36"/>
        <v/>
      </c>
      <c r="R155" s="5" t="str">
        <f t="shared" si="37"/>
        <v/>
      </c>
      <c r="S155" s="5" t="str">
        <f t="shared" si="35"/>
        <v/>
      </c>
      <c r="T155" s="76" t="str">
        <f t="shared" si="38"/>
        <v/>
      </c>
      <c r="U155" s="5">
        <f t="shared" si="44"/>
        <v>0</v>
      </c>
      <c r="V155" s="5">
        <f t="shared" si="44"/>
        <v>0</v>
      </c>
      <c r="W155" s="77" t="str">
        <f t="shared" si="40"/>
        <v/>
      </c>
      <c r="X155" s="65" t="str">
        <f t="shared" si="41"/>
        <v/>
      </c>
      <c r="Y155" s="78" t="str">
        <f t="shared" si="42"/>
        <v/>
      </c>
      <c r="Z155" s="21"/>
      <c r="AA155" s="138"/>
      <c r="AB155" s="21"/>
    </row>
    <row r="156" spans="1:28" x14ac:dyDescent="0.25">
      <c r="A156" s="21"/>
      <c r="B156" s="18"/>
      <c r="C156" s="85" t="str">
        <f>IF(B156="","",INDEX(Elements!B:B,MATCH(Design!B156,Elements!A:A,0)))</f>
        <v/>
      </c>
      <c r="D156" s="13"/>
      <c r="E156" s="85" t="str">
        <f>IFERROR(IF(D156="","",INDEX(Elements!J:J,MATCH(Design!D156,Elements!I:I,0))),SUBSTITUTE(D156," ",""))</f>
        <v/>
      </c>
      <c r="F156" s="13"/>
      <c r="G156" s="84" t="str">
        <f>IFERROR(IF(F156="","",INDEX(Elements!L:L,MATCH(Design!F156,Elements!K:K,0))),F156)</f>
        <v/>
      </c>
      <c r="H156" s="12"/>
      <c r="I156" s="14"/>
      <c r="J156" s="63" t="str">
        <f t="shared" ca="1" si="43"/>
        <v>columnHeaders</v>
      </c>
      <c r="K156" s="63">
        <f t="shared" ca="1" si="34"/>
        <v>0</v>
      </c>
      <c r="L156" s="63" t="str">
        <f ca="1">IF(K156="fontFamily","fontFamily",IF(K156="fontSize","fontSize",IFERROR(INDEX(Elements!M:M,MATCH(Design!J156&amp;"|"&amp;Design!K156,Elements!N:N,0)),"")))</f>
        <v/>
      </c>
      <c r="M156" s="65" t="str">
        <f ca="1">IF(OR(L156="",L156="fill"),"",MATCH(IF(L156="enumeration",J156&amp;"|"&amp;G156,Design!L156),Elements!N:N,0))</f>
        <v/>
      </c>
      <c r="N156" s="65" t="str">
        <f t="shared" si="39"/>
        <v/>
      </c>
      <c r="O156" s="65" t="str">
        <f ca="1">"Elements!"&amp;INDEX(Elements!H:H,MATCH(Design!J156,Elements!J:J,0))</f>
        <v>Elements!K36:K44</v>
      </c>
      <c r="P156" s="65" t="str">
        <f t="shared" ca="1" si="45"/>
        <v>"</v>
      </c>
      <c r="Q156" s="75" t="str">
        <f t="shared" si="36"/>
        <v/>
      </c>
      <c r="R156" s="5" t="str">
        <f t="shared" si="37"/>
        <v/>
      </c>
      <c r="S156" s="5" t="str">
        <f t="shared" si="35"/>
        <v/>
      </c>
      <c r="T156" s="76" t="str">
        <f t="shared" si="38"/>
        <v/>
      </c>
      <c r="U156" s="5">
        <f t="shared" si="44"/>
        <v>0</v>
      </c>
      <c r="V156" s="5">
        <f t="shared" si="44"/>
        <v>0</v>
      </c>
      <c r="W156" s="77" t="str">
        <f t="shared" si="40"/>
        <v/>
      </c>
      <c r="X156" s="65" t="str">
        <f t="shared" si="41"/>
        <v/>
      </c>
      <c r="Y156" s="78" t="str">
        <f t="shared" si="42"/>
        <v/>
      </c>
      <c r="Z156" s="21"/>
      <c r="AA156" s="138"/>
      <c r="AB156" s="21"/>
    </row>
    <row r="157" spans="1:28" x14ac:dyDescent="0.25">
      <c r="A157" s="21"/>
      <c r="B157" s="18"/>
      <c r="C157" s="85" t="str">
        <f>IF(B157="","",INDEX(Elements!B:B,MATCH(Design!B157,Elements!A:A,0)))</f>
        <v/>
      </c>
      <c r="D157" s="13"/>
      <c r="E157" s="85" t="str">
        <f>IFERROR(IF(D157="","",INDEX(Elements!J:J,MATCH(Design!D157,Elements!I:I,0))),SUBSTITUTE(D157," ",""))</f>
        <v/>
      </c>
      <c r="F157" s="13"/>
      <c r="G157" s="84" t="str">
        <f>IFERROR(IF(F157="","",INDEX(Elements!L:L,MATCH(Design!F157,Elements!K:K,0))),F157)</f>
        <v/>
      </c>
      <c r="H157" s="12"/>
      <c r="I157" s="14"/>
      <c r="J157" s="63" t="str">
        <f t="shared" ca="1" si="43"/>
        <v>columnHeaders</v>
      </c>
      <c r="K157" s="63">
        <f t="shared" ca="1" si="34"/>
        <v>0</v>
      </c>
      <c r="L157" s="63" t="str">
        <f ca="1">IF(K157="fontFamily","fontFamily",IF(K157="fontSize","fontSize",IFERROR(INDEX(Elements!M:M,MATCH(Design!J157&amp;"|"&amp;Design!K157,Elements!N:N,0)),"")))</f>
        <v/>
      </c>
      <c r="M157" s="65" t="str">
        <f ca="1">IF(OR(L157="",L157="fill"),"",MATCH(IF(L157="enumeration",J157&amp;"|"&amp;G157,Design!L157),Elements!N:N,0))</f>
        <v/>
      </c>
      <c r="N157" s="65" t="str">
        <f t="shared" si="39"/>
        <v/>
      </c>
      <c r="O157" s="65" t="str">
        <f ca="1">"Elements!"&amp;INDEX(Elements!H:H,MATCH(Design!J157,Elements!J:J,0))</f>
        <v>Elements!K36:K44</v>
      </c>
      <c r="P157" s="65" t="str">
        <f t="shared" ca="1" si="45"/>
        <v>"</v>
      </c>
      <c r="Q157" s="75" t="str">
        <f t="shared" si="36"/>
        <v/>
      </c>
      <c r="R157" s="5" t="str">
        <f t="shared" si="37"/>
        <v/>
      </c>
      <c r="S157" s="5" t="str">
        <f t="shared" si="35"/>
        <v/>
      </c>
      <c r="T157" s="76" t="str">
        <f t="shared" si="38"/>
        <v/>
      </c>
      <c r="U157" s="5">
        <f t="shared" si="44"/>
        <v>0</v>
      </c>
      <c r="V157" s="5">
        <f t="shared" si="44"/>
        <v>0</v>
      </c>
      <c r="W157" s="77" t="str">
        <f t="shared" si="40"/>
        <v/>
      </c>
      <c r="X157" s="65" t="str">
        <f t="shared" si="41"/>
        <v/>
      </c>
      <c r="Y157" s="78" t="str">
        <f t="shared" si="42"/>
        <v/>
      </c>
      <c r="Z157" s="21"/>
      <c r="AA157" s="138"/>
      <c r="AB157" s="21"/>
    </row>
    <row r="158" spans="1:28" x14ac:dyDescent="0.25">
      <c r="A158" s="21"/>
      <c r="B158" s="18"/>
      <c r="C158" s="85" t="str">
        <f>IF(B158="","",INDEX(Elements!B:B,MATCH(Design!B158,Elements!A:A,0)))</f>
        <v/>
      </c>
      <c r="D158" s="13"/>
      <c r="E158" s="85" t="str">
        <f>IFERROR(IF(D158="","",INDEX(Elements!J:J,MATCH(Design!D158,Elements!I:I,0))),SUBSTITUTE(D158," ",""))</f>
        <v/>
      </c>
      <c r="F158" s="13"/>
      <c r="G158" s="84" t="str">
        <f>IFERROR(IF(F158="","",INDEX(Elements!L:L,MATCH(Design!F158,Elements!K:K,0))),F158)</f>
        <v/>
      </c>
      <c r="H158" s="12"/>
      <c r="I158" s="14"/>
      <c r="J158" s="63" t="str">
        <f t="shared" ca="1" si="43"/>
        <v>columnHeaders</v>
      </c>
      <c r="K158" s="63">
        <f t="shared" ca="1" si="34"/>
        <v>0</v>
      </c>
      <c r="L158" s="63" t="str">
        <f ca="1">IF(K158="fontFamily","fontFamily",IF(K158="fontSize","fontSize",IFERROR(INDEX(Elements!M:M,MATCH(Design!J158&amp;"|"&amp;Design!K158,Elements!N:N,0)),"")))</f>
        <v/>
      </c>
      <c r="M158" s="65" t="str">
        <f ca="1">IF(OR(L158="",L158="fill"),"",MATCH(IF(L158="enumeration",J158&amp;"|"&amp;G158,Design!L158),Elements!N:N,0))</f>
        <v/>
      </c>
      <c r="N158" s="65" t="str">
        <f t="shared" si="39"/>
        <v/>
      </c>
      <c r="O158" s="65" t="str">
        <f ca="1">"Elements!"&amp;INDEX(Elements!H:H,MATCH(Design!J158,Elements!J:J,0))</f>
        <v>Elements!K36:K44</v>
      </c>
      <c r="P158" s="65" t="str">
        <f t="shared" ca="1" si="45"/>
        <v>"</v>
      </c>
      <c r="Q158" s="75" t="str">
        <f t="shared" si="36"/>
        <v/>
      </c>
      <c r="R158" s="5" t="str">
        <f t="shared" si="37"/>
        <v/>
      </c>
      <c r="S158" s="5" t="str">
        <f t="shared" si="35"/>
        <v/>
      </c>
      <c r="T158" s="76" t="str">
        <f t="shared" si="38"/>
        <v/>
      </c>
      <c r="U158" s="5">
        <f t="shared" si="44"/>
        <v>0</v>
      </c>
      <c r="V158" s="5">
        <f t="shared" si="44"/>
        <v>0</v>
      </c>
      <c r="W158" s="77" t="str">
        <f t="shared" si="40"/>
        <v/>
      </c>
      <c r="X158" s="65" t="str">
        <f t="shared" si="41"/>
        <v/>
      </c>
      <c r="Y158" s="78" t="str">
        <f t="shared" si="42"/>
        <v/>
      </c>
      <c r="Z158" s="21"/>
      <c r="AA158" s="138"/>
      <c r="AB158" s="21"/>
    </row>
    <row r="159" spans="1:28" x14ac:dyDescent="0.25">
      <c r="A159" s="21"/>
      <c r="B159" s="18"/>
      <c r="C159" s="85" t="str">
        <f>IF(B159="","",INDEX(Elements!B:B,MATCH(Design!B159,Elements!A:A,0)))</f>
        <v/>
      </c>
      <c r="D159" s="13"/>
      <c r="E159" s="85" t="str">
        <f>IFERROR(IF(D159="","",INDEX(Elements!J:J,MATCH(Design!D159,Elements!I:I,0))),SUBSTITUTE(D159," ",""))</f>
        <v/>
      </c>
      <c r="F159" s="13"/>
      <c r="G159" s="84" t="str">
        <f>IFERROR(IF(F159="","",INDEX(Elements!L:L,MATCH(Design!F159,Elements!K:K,0))),F159)</f>
        <v/>
      </c>
      <c r="H159" s="12"/>
      <c r="I159" s="14"/>
      <c r="J159" s="63" t="str">
        <f t="shared" ca="1" si="43"/>
        <v>columnHeaders</v>
      </c>
      <c r="K159" s="63">
        <f t="shared" ca="1" si="34"/>
        <v>0</v>
      </c>
      <c r="L159" s="63" t="str">
        <f ca="1">IF(K159="fontFamily","fontFamily",IF(K159="fontSize","fontSize",IFERROR(INDEX(Elements!M:M,MATCH(Design!J159&amp;"|"&amp;Design!K159,Elements!N:N,0)),"")))</f>
        <v/>
      </c>
      <c r="M159" s="65" t="str">
        <f ca="1">IF(OR(L159="",L159="fill"),"",MATCH(IF(L159="enumeration",J159&amp;"|"&amp;G159,Design!L159),Elements!N:N,0))</f>
        <v/>
      </c>
      <c r="N159" s="65" t="str">
        <f t="shared" si="39"/>
        <v/>
      </c>
      <c r="O159" s="65" t="str">
        <f ca="1">"Elements!"&amp;INDEX(Elements!H:H,MATCH(Design!J159,Elements!J:J,0))</f>
        <v>Elements!K36:K44</v>
      </c>
      <c r="P159" s="65" t="str">
        <f t="shared" ca="1" si="45"/>
        <v>"</v>
      </c>
      <c r="Q159" s="75" t="str">
        <f t="shared" si="36"/>
        <v/>
      </c>
      <c r="R159" s="5" t="str">
        <f t="shared" si="37"/>
        <v/>
      </c>
      <c r="S159" s="5" t="str">
        <f t="shared" si="35"/>
        <v/>
      </c>
      <c r="T159" s="76" t="str">
        <f t="shared" si="38"/>
        <v/>
      </c>
      <c r="U159" s="5">
        <f t="shared" si="44"/>
        <v>0</v>
      </c>
      <c r="V159" s="5">
        <f t="shared" si="44"/>
        <v>0</v>
      </c>
      <c r="W159" s="77" t="str">
        <f t="shared" si="40"/>
        <v/>
      </c>
      <c r="X159" s="65" t="str">
        <f t="shared" si="41"/>
        <v/>
      </c>
      <c r="Y159" s="78" t="str">
        <f t="shared" si="42"/>
        <v/>
      </c>
      <c r="Z159" s="21"/>
      <c r="AA159" s="138"/>
      <c r="AB159" s="21"/>
    </row>
    <row r="160" spans="1:28" x14ac:dyDescent="0.25">
      <c r="A160" s="21"/>
      <c r="B160" s="18"/>
      <c r="C160" s="85" t="str">
        <f>IF(B160="","",INDEX(Elements!B:B,MATCH(Design!B160,Elements!A:A,0)))</f>
        <v/>
      </c>
      <c r="D160" s="13"/>
      <c r="E160" s="85" t="str">
        <f>IFERROR(IF(D160="","",INDEX(Elements!J:J,MATCH(Design!D160,Elements!I:I,0))),SUBSTITUTE(D160," ",""))</f>
        <v/>
      </c>
      <c r="F160" s="13"/>
      <c r="G160" s="84" t="str">
        <f>IFERROR(IF(F160="","",INDEX(Elements!L:L,MATCH(Design!F160,Elements!K:K,0))),F160)</f>
        <v/>
      </c>
      <c r="H160" s="12"/>
      <c r="I160" s="14"/>
      <c r="J160" s="63" t="str">
        <f t="shared" ca="1" si="43"/>
        <v>columnHeaders</v>
      </c>
      <c r="K160" s="63">
        <f t="shared" ca="1" si="34"/>
        <v>0</v>
      </c>
      <c r="L160" s="63" t="str">
        <f ca="1">IF(K160="fontFamily","fontFamily",IF(K160="fontSize","fontSize",IFERROR(INDEX(Elements!M:M,MATCH(Design!J160&amp;"|"&amp;Design!K160,Elements!N:N,0)),"")))</f>
        <v/>
      </c>
      <c r="M160" s="65" t="str">
        <f ca="1">IF(OR(L160="",L160="fill"),"",MATCH(IF(L160="enumeration",J160&amp;"|"&amp;G160,Design!L160),Elements!N:N,0))</f>
        <v/>
      </c>
      <c r="N160" s="65" t="str">
        <f t="shared" si="39"/>
        <v/>
      </c>
      <c r="O160" s="65" t="str">
        <f ca="1">"Elements!"&amp;INDEX(Elements!H:H,MATCH(Design!J160,Elements!J:J,0))</f>
        <v>Elements!K36:K44</v>
      </c>
      <c r="P160" s="65" t="str">
        <f t="shared" ca="1" si="45"/>
        <v>"</v>
      </c>
      <c r="Q160" s="75" t="str">
        <f t="shared" si="36"/>
        <v/>
      </c>
      <c r="R160" s="5" t="str">
        <f t="shared" si="37"/>
        <v/>
      </c>
      <c r="S160" s="5" t="str">
        <f t="shared" si="35"/>
        <v/>
      </c>
      <c r="T160" s="76" t="str">
        <f t="shared" si="38"/>
        <v/>
      </c>
      <c r="U160" s="5">
        <f t="shared" si="44"/>
        <v>0</v>
      </c>
      <c r="V160" s="5">
        <f t="shared" si="44"/>
        <v>0</v>
      </c>
      <c r="W160" s="77" t="str">
        <f t="shared" si="40"/>
        <v/>
      </c>
      <c r="X160" s="65" t="str">
        <f t="shared" si="41"/>
        <v/>
      </c>
      <c r="Y160" s="78" t="str">
        <f t="shared" si="42"/>
        <v/>
      </c>
      <c r="Z160" s="21"/>
      <c r="AA160" s="138"/>
      <c r="AB160" s="21"/>
    </row>
    <row r="161" spans="1:28" x14ac:dyDescent="0.25">
      <c r="A161" s="21"/>
      <c r="B161" s="18"/>
      <c r="C161" s="85" t="str">
        <f>IF(B161="","",INDEX(Elements!B:B,MATCH(Design!B161,Elements!A:A,0)))</f>
        <v/>
      </c>
      <c r="D161" s="13"/>
      <c r="E161" s="85" t="str">
        <f>IFERROR(IF(D161="","",INDEX(Elements!J:J,MATCH(Design!D161,Elements!I:I,0))),SUBSTITUTE(D161," ",""))</f>
        <v/>
      </c>
      <c r="F161" s="13"/>
      <c r="G161" s="84" t="str">
        <f>IFERROR(IF(F161="","",INDEX(Elements!L:L,MATCH(Design!F161,Elements!K:K,0))),F161)</f>
        <v/>
      </c>
      <c r="H161" s="12"/>
      <c r="I161" s="14"/>
      <c r="J161" s="63" t="str">
        <f t="shared" ca="1" si="43"/>
        <v>columnHeaders</v>
      </c>
      <c r="K161" s="63">
        <f t="shared" ca="1" si="34"/>
        <v>0</v>
      </c>
      <c r="L161" s="63" t="str">
        <f ca="1">IF(K161="fontFamily","fontFamily",IF(K161="fontSize","fontSize",IFERROR(INDEX(Elements!M:M,MATCH(Design!J161&amp;"|"&amp;Design!K161,Elements!N:N,0)),"")))</f>
        <v/>
      </c>
      <c r="M161" s="65" t="str">
        <f ca="1">IF(OR(L161="",L161="fill"),"",MATCH(IF(L161="enumeration",J161&amp;"|"&amp;G161,Design!L161),Elements!N:N,0))</f>
        <v/>
      </c>
      <c r="N161" s="65" t="str">
        <f t="shared" si="39"/>
        <v/>
      </c>
      <c r="O161" s="65" t="str">
        <f ca="1">"Elements!"&amp;INDEX(Elements!H:H,MATCH(Design!J161,Elements!J:J,0))</f>
        <v>Elements!K36:K44</v>
      </c>
      <c r="P161" s="65" t="str">
        <f t="shared" ca="1" si="45"/>
        <v>"</v>
      </c>
      <c r="Q161" s="75" t="str">
        <f t="shared" si="36"/>
        <v/>
      </c>
      <c r="R161" s="5" t="str">
        <f t="shared" si="37"/>
        <v/>
      </c>
      <c r="S161" s="5" t="str">
        <f t="shared" si="35"/>
        <v/>
      </c>
      <c r="T161" s="76" t="str">
        <f t="shared" si="38"/>
        <v/>
      </c>
      <c r="U161" s="5">
        <f t="shared" si="44"/>
        <v>0</v>
      </c>
      <c r="V161" s="5">
        <f t="shared" si="44"/>
        <v>0</v>
      </c>
      <c r="W161" s="77" t="str">
        <f t="shared" si="40"/>
        <v/>
      </c>
      <c r="X161" s="65" t="str">
        <f t="shared" si="41"/>
        <v/>
      </c>
      <c r="Y161" s="78" t="str">
        <f t="shared" si="42"/>
        <v/>
      </c>
      <c r="Z161" s="21"/>
      <c r="AA161" s="138"/>
      <c r="AB161" s="21"/>
    </row>
    <row r="162" spans="1:28" x14ac:dyDescent="0.25">
      <c r="A162" s="21"/>
      <c r="B162" s="18"/>
      <c r="C162" s="85" t="str">
        <f>IF(B162="","",INDEX(Elements!B:B,MATCH(Design!B162,Elements!A:A,0)))</f>
        <v/>
      </c>
      <c r="D162" s="13"/>
      <c r="E162" s="85" t="str">
        <f>IFERROR(IF(D162="","",INDEX(Elements!J:J,MATCH(Design!D162,Elements!I:I,0))),SUBSTITUTE(D162," ",""))</f>
        <v/>
      </c>
      <c r="F162" s="13"/>
      <c r="G162" s="84" t="str">
        <f>IFERROR(IF(F162="","",INDEX(Elements!L:L,MATCH(Design!F162,Elements!K:K,0))),F162)</f>
        <v/>
      </c>
      <c r="H162" s="12"/>
      <c r="I162" s="14"/>
      <c r="J162" s="63" t="str">
        <f t="shared" ca="1" si="43"/>
        <v>columnHeaders</v>
      </c>
      <c r="K162" s="63">
        <f t="shared" ca="1" si="34"/>
        <v>0</v>
      </c>
      <c r="L162" s="63" t="str">
        <f ca="1">IF(K162="fontFamily","fontFamily",IF(K162="fontSize","fontSize",IFERROR(INDEX(Elements!M:M,MATCH(Design!J162&amp;"|"&amp;Design!K162,Elements!N:N,0)),"")))</f>
        <v/>
      </c>
      <c r="M162" s="65" t="str">
        <f ca="1">IF(OR(L162="",L162="fill"),"",MATCH(IF(L162="enumeration",J162&amp;"|"&amp;G162,Design!L162),Elements!N:N,0))</f>
        <v/>
      </c>
      <c r="N162" s="65" t="str">
        <f t="shared" si="39"/>
        <v/>
      </c>
      <c r="O162" s="65" t="str">
        <f ca="1">"Elements!"&amp;INDEX(Elements!H:H,MATCH(Design!J162,Elements!J:J,0))</f>
        <v>Elements!K36:K44</v>
      </c>
      <c r="P162" s="65" t="str">
        <f t="shared" ca="1" si="45"/>
        <v>"</v>
      </c>
      <c r="Q162" s="75" t="str">
        <f t="shared" si="36"/>
        <v/>
      </c>
      <c r="R162" s="5" t="str">
        <f t="shared" si="37"/>
        <v/>
      </c>
      <c r="S162" s="5" t="str">
        <f t="shared" si="35"/>
        <v/>
      </c>
      <c r="T162" s="76" t="str">
        <f t="shared" si="38"/>
        <v/>
      </c>
      <c r="U162" s="5">
        <f t="shared" si="44"/>
        <v>0</v>
      </c>
      <c r="V162" s="5">
        <f t="shared" si="44"/>
        <v>0</v>
      </c>
      <c r="W162" s="77" t="str">
        <f t="shared" si="40"/>
        <v/>
      </c>
      <c r="X162" s="65" t="str">
        <f t="shared" si="41"/>
        <v/>
      </c>
      <c r="Y162" s="78" t="str">
        <f t="shared" si="42"/>
        <v/>
      </c>
      <c r="Z162" s="21"/>
      <c r="AA162" s="138"/>
      <c r="AB162" s="21"/>
    </row>
    <row r="163" spans="1:28" x14ac:dyDescent="0.25">
      <c r="A163" s="21"/>
      <c r="B163" s="18"/>
      <c r="C163" s="85" t="str">
        <f>IF(B163="","",INDEX(Elements!B:B,MATCH(Design!B163,Elements!A:A,0)))</f>
        <v/>
      </c>
      <c r="D163" s="13"/>
      <c r="E163" s="85" t="str">
        <f>IFERROR(IF(D163="","",INDEX(Elements!J:J,MATCH(Design!D163,Elements!I:I,0))),SUBSTITUTE(D163," ",""))</f>
        <v/>
      </c>
      <c r="F163" s="13"/>
      <c r="G163" s="84" t="str">
        <f>IFERROR(IF(F163="","",INDEX(Elements!L:L,MATCH(Design!F163,Elements!K:K,0))),F163)</f>
        <v/>
      </c>
      <c r="H163" s="12"/>
      <c r="I163" s="14"/>
      <c r="J163" s="63" t="str">
        <f t="shared" ca="1" si="43"/>
        <v>columnHeaders</v>
      </c>
      <c r="K163" s="63">
        <f t="shared" ca="1" si="34"/>
        <v>0</v>
      </c>
      <c r="L163" s="63" t="str">
        <f ca="1">IF(K163="fontFamily","fontFamily",IF(K163="fontSize","fontSize",IFERROR(INDEX(Elements!M:M,MATCH(Design!J163&amp;"|"&amp;Design!K163,Elements!N:N,0)),"")))</f>
        <v/>
      </c>
      <c r="M163" s="65" t="str">
        <f ca="1">IF(OR(L163="",L163="fill"),"",MATCH(IF(L163="enumeration",J163&amp;"|"&amp;G163,Design!L163),Elements!N:N,0))</f>
        <v/>
      </c>
      <c r="N163" s="65" t="str">
        <f t="shared" si="39"/>
        <v/>
      </c>
      <c r="O163" s="65" t="str">
        <f ca="1">"Elements!"&amp;INDEX(Elements!H:H,MATCH(Design!J163,Elements!J:J,0))</f>
        <v>Elements!K36:K44</v>
      </c>
      <c r="P163" s="65" t="str">
        <f t="shared" ca="1" si="45"/>
        <v>"</v>
      </c>
      <c r="Q163" s="75" t="str">
        <f t="shared" si="36"/>
        <v/>
      </c>
      <c r="R163" s="5" t="str">
        <f t="shared" si="37"/>
        <v/>
      </c>
      <c r="S163" s="5" t="str">
        <f t="shared" si="35"/>
        <v/>
      </c>
      <c r="T163" s="76" t="str">
        <f t="shared" si="38"/>
        <v/>
      </c>
      <c r="U163" s="5">
        <f t="shared" si="44"/>
        <v>0</v>
      </c>
      <c r="V163" s="5">
        <f t="shared" si="44"/>
        <v>0</v>
      </c>
      <c r="W163" s="77" t="str">
        <f t="shared" si="40"/>
        <v/>
      </c>
      <c r="X163" s="65" t="str">
        <f t="shared" si="41"/>
        <v/>
      </c>
      <c r="Y163" s="78" t="str">
        <f t="shared" si="42"/>
        <v/>
      </c>
      <c r="Z163" s="21"/>
      <c r="AA163" s="138"/>
      <c r="AB163" s="21"/>
    </row>
    <row r="164" spans="1:28" x14ac:dyDescent="0.25">
      <c r="A164" s="21"/>
      <c r="B164" s="18"/>
      <c r="C164" s="85" t="str">
        <f>IF(B164="","",INDEX(Elements!B:B,MATCH(Design!B164,Elements!A:A,0)))</f>
        <v/>
      </c>
      <c r="D164" s="13"/>
      <c r="E164" s="85" t="str">
        <f>IFERROR(IF(D164="","",INDEX(Elements!J:J,MATCH(Design!D164,Elements!I:I,0))),SUBSTITUTE(D164," ",""))</f>
        <v/>
      </c>
      <c r="F164" s="13"/>
      <c r="G164" s="84" t="str">
        <f>IFERROR(IF(F164="","",INDEX(Elements!L:L,MATCH(Design!F164,Elements!K:K,0))),F164)</f>
        <v/>
      </c>
      <c r="H164" s="12"/>
      <c r="I164" s="14"/>
      <c r="J164" s="63" t="str">
        <f t="shared" ca="1" si="43"/>
        <v>columnHeaders</v>
      </c>
      <c r="K164" s="63">
        <f t="shared" ca="1" si="34"/>
        <v>0</v>
      </c>
      <c r="L164" s="63" t="str">
        <f ca="1">IF(K164="fontFamily","fontFamily",IF(K164="fontSize","fontSize",IFERROR(INDEX(Elements!M:M,MATCH(Design!J164&amp;"|"&amp;Design!K164,Elements!N:N,0)),"")))</f>
        <v/>
      </c>
      <c r="M164" s="65" t="str">
        <f ca="1">IF(OR(L164="",L164="fill"),"",MATCH(IF(L164="enumeration",J164&amp;"|"&amp;G164,Design!L164),Elements!N:N,0))</f>
        <v/>
      </c>
      <c r="N164" s="65" t="str">
        <f t="shared" si="39"/>
        <v/>
      </c>
      <c r="O164" s="65" t="str">
        <f ca="1">"Elements!"&amp;INDEX(Elements!H:H,MATCH(Design!J164,Elements!J:J,0))</f>
        <v>Elements!K36:K44</v>
      </c>
      <c r="P164" s="65" t="str">
        <f t="shared" ca="1" si="45"/>
        <v>"</v>
      </c>
      <c r="Q164" s="75" t="str">
        <f t="shared" si="36"/>
        <v/>
      </c>
      <c r="R164" s="5" t="str">
        <f t="shared" si="37"/>
        <v/>
      </c>
      <c r="S164" s="5" t="str">
        <f t="shared" si="35"/>
        <v/>
      </c>
      <c r="T164" s="76" t="str">
        <f t="shared" si="38"/>
        <v/>
      </c>
      <c r="U164" s="5">
        <f t="shared" si="44"/>
        <v>0</v>
      </c>
      <c r="V164" s="5">
        <f t="shared" si="44"/>
        <v>0</v>
      </c>
      <c r="W164" s="77" t="str">
        <f t="shared" si="40"/>
        <v/>
      </c>
      <c r="X164" s="65" t="str">
        <f t="shared" si="41"/>
        <v/>
      </c>
      <c r="Y164" s="78" t="str">
        <f t="shared" si="42"/>
        <v/>
      </c>
      <c r="Z164" s="21"/>
      <c r="AA164" s="138"/>
      <c r="AB164" s="21"/>
    </row>
    <row r="165" spans="1:28" x14ac:dyDescent="0.25">
      <c r="A165" s="21"/>
      <c r="B165" s="18"/>
      <c r="C165" s="85" t="str">
        <f>IF(B165="","",INDEX(Elements!B:B,MATCH(Design!B165,Elements!A:A,0)))</f>
        <v/>
      </c>
      <c r="D165" s="13"/>
      <c r="E165" s="85" t="str">
        <f>IFERROR(IF(D165="","",INDEX(Elements!J:J,MATCH(Design!D165,Elements!I:I,0))),SUBSTITUTE(D165," ",""))</f>
        <v/>
      </c>
      <c r="F165" s="13"/>
      <c r="G165" s="84" t="str">
        <f>IFERROR(IF(F165="","",INDEX(Elements!L:L,MATCH(Design!F165,Elements!K:K,0))),F165)</f>
        <v/>
      </c>
      <c r="H165" s="12"/>
      <c r="I165" s="14"/>
      <c r="J165" s="63" t="str">
        <f t="shared" ca="1" si="43"/>
        <v>columnHeaders</v>
      </c>
      <c r="K165" s="63">
        <f t="shared" ca="1" si="34"/>
        <v>0</v>
      </c>
      <c r="L165" s="63" t="str">
        <f ca="1">IF(K165="fontFamily","fontFamily",IF(K165="fontSize","fontSize",IFERROR(INDEX(Elements!M:M,MATCH(Design!J165&amp;"|"&amp;Design!K165,Elements!N:N,0)),"")))</f>
        <v/>
      </c>
      <c r="M165" s="65" t="str">
        <f ca="1">IF(OR(L165="",L165="fill"),"",MATCH(IF(L165="enumeration",J165&amp;"|"&amp;G165,Design!L165),Elements!N:N,0))</f>
        <v/>
      </c>
      <c r="N165" s="65" t="str">
        <f t="shared" si="39"/>
        <v/>
      </c>
      <c r="O165" s="65" t="str">
        <f ca="1">"Elements!"&amp;INDEX(Elements!H:H,MATCH(Design!J165,Elements!J:J,0))</f>
        <v>Elements!K36:K44</v>
      </c>
      <c r="P165" s="65" t="str">
        <f t="shared" ca="1" si="45"/>
        <v>"</v>
      </c>
      <c r="Q165" s="75" t="str">
        <f t="shared" si="36"/>
        <v/>
      </c>
      <c r="R165" s="5" t="str">
        <f t="shared" si="37"/>
        <v/>
      </c>
      <c r="S165" s="5" t="str">
        <f t="shared" si="35"/>
        <v/>
      </c>
      <c r="T165" s="76" t="str">
        <f t="shared" si="38"/>
        <v/>
      </c>
      <c r="U165" s="5">
        <f t="shared" si="44"/>
        <v>0</v>
      </c>
      <c r="V165" s="5">
        <f t="shared" si="44"/>
        <v>0</v>
      </c>
      <c r="W165" s="77" t="str">
        <f t="shared" si="40"/>
        <v/>
      </c>
      <c r="X165" s="65" t="str">
        <f t="shared" si="41"/>
        <v/>
      </c>
      <c r="Y165" s="78" t="str">
        <f t="shared" si="42"/>
        <v/>
      </c>
      <c r="Z165" s="21"/>
      <c r="AA165" s="138"/>
      <c r="AB165" s="21"/>
    </row>
    <row r="166" spans="1:28" x14ac:dyDescent="0.25">
      <c r="A166" s="21"/>
      <c r="B166" s="18"/>
      <c r="C166" s="85" t="str">
        <f>IF(B166="","",INDEX(Elements!B:B,MATCH(Design!B166,Elements!A:A,0)))</f>
        <v/>
      </c>
      <c r="D166" s="13"/>
      <c r="E166" s="85" t="str">
        <f>IFERROR(IF(D166="","",INDEX(Elements!J:J,MATCH(Design!D166,Elements!I:I,0))),SUBSTITUTE(D166," ",""))</f>
        <v/>
      </c>
      <c r="F166" s="13"/>
      <c r="G166" s="84" t="str">
        <f>IFERROR(IF(F166="","",INDEX(Elements!L:L,MATCH(Design!F166,Elements!K:K,0))),F166)</f>
        <v/>
      </c>
      <c r="H166" s="12"/>
      <c r="I166" s="14"/>
      <c r="J166" s="63" t="str">
        <f t="shared" ca="1" si="43"/>
        <v>columnHeaders</v>
      </c>
      <c r="K166" s="63">
        <f t="shared" ca="1" si="34"/>
        <v>0</v>
      </c>
      <c r="L166" s="63" t="str">
        <f ca="1">IF(K166="fontFamily","fontFamily",IF(K166="fontSize","fontSize",IFERROR(INDEX(Elements!M:M,MATCH(Design!J166&amp;"|"&amp;Design!K166,Elements!N:N,0)),"")))</f>
        <v/>
      </c>
      <c r="M166" s="65" t="str">
        <f ca="1">IF(OR(L166="",L166="fill"),"",MATCH(IF(L166="enumeration",J166&amp;"|"&amp;G166,Design!L166),Elements!N:N,0))</f>
        <v/>
      </c>
      <c r="N166" s="65" t="str">
        <f t="shared" si="39"/>
        <v/>
      </c>
      <c r="O166" s="65" t="str">
        <f ca="1">"Elements!"&amp;INDEX(Elements!H:H,MATCH(Design!J166,Elements!J:J,0))</f>
        <v>Elements!K36:K44</v>
      </c>
      <c r="P166" s="65" t="str">
        <f t="shared" ca="1" si="45"/>
        <v>"</v>
      </c>
      <c r="Q166" s="75" t="str">
        <f t="shared" si="36"/>
        <v/>
      </c>
      <c r="R166" s="5" t="str">
        <f t="shared" si="37"/>
        <v/>
      </c>
      <c r="S166" s="5" t="str">
        <f t="shared" si="35"/>
        <v/>
      </c>
      <c r="T166" s="76" t="str">
        <f t="shared" si="38"/>
        <v/>
      </c>
      <c r="U166" s="5">
        <f t="shared" si="44"/>
        <v>0</v>
      </c>
      <c r="V166" s="5">
        <f t="shared" si="44"/>
        <v>0</v>
      </c>
      <c r="W166" s="77" t="str">
        <f t="shared" si="40"/>
        <v/>
      </c>
      <c r="X166" s="65" t="str">
        <f t="shared" si="41"/>
        <v/>
      </c>
      <c r="Y166" s="78" t="str">
        <f t="shared" si="42"/>
        <v/>
      </c>
      <c r="Z166" s="21"/>
      <c r="AA166" s="138"/>
      <c r="AB166" s="21"/>
    </row>
    <row r="167" spans="1:28" x14ac:dyDescent="0.25">
      <c r="A167" s="21"/>
      <c r="B167" s="18"/>
      <c r="C167" s="85" t="str">
        <f>IF(B167="","",INDEX(Elements!B:B,MATCH(Design!B167,Elements!A:A,0)))</f>
        <v/>
      </c>
      <c r="D167" s="13"/>
      <c r="E167" s="85" t="str">
        <f>IFERROR(IF(D167="","",INDEX(Elements!J:J,MATCH(Design!D167,Elements!I:I,0))),SUBSTITUTE(D167," ",""))</f>
        <v/>
      </c>
      <c r="F167" s="13"/>
      <c r="G167" s="84" t="str">
        <f>IFERROR(IF(F167="","",INDEX(Elements!L:L,MATCH(Design!F167,Elements!K:K,0))),F167)</f>
        <v/>
      </c>
      <c r="H167" s="12"/>
      <c r="I167" s="14"/>
      <c r="J167" s="63" t="str">
        <f t="shared" ca="1" si="43"/>
        <v>columnHeaders</v>
      </c>
      <c r="K167" s="63">
        <f t="shared" ca="1" si="34"/>
        <v>0</v>
      </c>
      <c r="L167" s="63" t="str">
        <f ca="1">IF(K167="fontFamily","fontFamily",IF(K167="fontSize","fontSize",IFERROR(INDEX(Elements!M:M,MATCH(Design!J167&amp;"|"&amp;Design!K167,Elements!N:N,0)),"")))</f>
        <v/>
      </c>
      <c r="M167" s="65" t="str">
        <f ca="1">IF(OR(L167="",L167="fill"),"",MATCH(IF(L167="enumeration",J167&amp;"|"&amp;G167,Design!L167),Elements!N:N,0))</f>
        <v/>
      </c>
      <c r="N167" s="65" t="str">
        <f t="shared" si="39"/>
        <v/>
      </c>
      <c r="O167" s="65" t="str">
        <f ca="1">"Elements!"&amp;INDEX(Elements!H:H,MATCH(Design!J167,Elements!J:J,0))</f>
        <v>Elements!K36:K44</v>
      </c>
      <c r="P167" s="65" t="str">
        <f t="shared" ca="1" si="45"/>
        <v>"</v>
      </c>
      <c r="Q167" s="75" t="str">
        <f t="shared" si="36"/>
        <v/>
      </c>
      <c r="R167" s="5" t="str">
        <f t="shared" si="37"/>
        <v/>
      </c>
      <c r="S167" s="5" t="str">
        <f t="shared" si="35"/>
        <v/>
      </c>
      <c r="T167" s="76" t="str">
        <f t="shared" si="38"/>
        <v/>
      </c>
      <c r="U167" s="5">
        <f t="shared" si="44"/>
        <v>0</v>
      </c>
      <c r="V167" s="5">
        <f t="shared" si="44"/>
        <v>0</v>
      </c>
      <c r="W167" s="77" t="str">
        <f t="shared" si="40"/>
        <v/>
      </c>
      <c r="X167" s="65" t="str">
        <f t="shared" si="41"/>
        <v/>
      </c>
      <c r="Y167" s="78" t="str">
        <f t="shared" si="42"/>
        <v/>
      </c>
      <c r="Z167" s="21"/>
      <c r="AA167" s="138"/>
      <c r="AB167" s="21"/>
    </row>
    <row r="168" spans="1:28" x14ac:dyDescent="0.25">
      <c r="A168" s="21"/>
      <c r="B168" s="18"/>
      <c r="C168" s="85" t="str">
        <f>IF(B168="","",INDEX(Elements!B:B,MATCH(Design!B168,Elements!A:A,0)))</f>
        <v/>
      </c>
      <c r="D168" s="13"/>
      <c r="E168" s="85" t="str">
        <f>IFERROR(IF(D168="","",INDEX(Elements!J:J,MATCH(Design!D168,Elements!I:I,0))),SUBSTITUTE(D168," ",""))</f>
        <v/>
      </c>
      <c r="F168" s="13"/>
      <c r="G168" s="84" t="str">
        <f>IFERROR(IF(F168="","",INDEX(Elements!L:L,MATCH(Design!F168,Elements!K:K,0))),F168)</f>
        <v/>
      </c>
      <c r="H168" s="12"/>
      <c r="I168" s="14"/>
      <c r="J168" s="63" t="str">
        <f t="shared" ca="1" si="43"/>
        <v>columnHeaders</v>
      </c>
      <c r="K168" s="63">
        <f t="shared" ca="1" si="34"/>
        <v>0</v>
      </c>
      <c r="L168" s="63" t="str">
        <f ca="1">IF(K168="fontFamily","fontFamily",IF(K168="fontSize","fontSize",IFERROR(INDEX(Elements!M:M,MATCH(Design!J168&amp;"|"&amp;Design!K168,Elements!N:N,0)),"")))</f>
        <v/>
      </c>
      <c r="M168" s="65" t="str">
        <f ca="1">IF(OR(L168="",L168="fill"),"",MATCH(IF(L168="enumeration",J168&amp;"|"&amp;G168,Design!L168),Elements!N:N,0))</f>
        <v/>
      </c>
      <c r="N168" s="65" t="str">
        <f t="shared" si="39"/>
        <v/>
      </c>
      <c r="O168" s="65" t="str">
        <f ca="1">"Elements!"&amp;INDEX(Elements!H:H,MATCH(Design!J168,Elements!J:J,0))</f>
        <v>Elements!K36:K44</v>
      </c>
      <c r="P168" s="65" t="str">
        <f t="shared" ca="1" si="45"/>
        <v>"</v>
      </c>
      <c r="Q168" s="75" t="str">
        <f t="shared" si="36"/>
        <v/>
      </c>
      <c r="R168" s="5" t="str">
        <f t="shared" si="37"/>
        <v/>
      </c>
      <c r="S168" s="5" t="str">
        <f t="shared" si="35"/>
        <v/>
      </c>
      <c r="T168" s="76" t="str">
        <f t="shared" si="38"/>
        <v/>
      </c>
      <c r="U168" s="5">
        <f t="shared" si="44"/>
        <v>0</v>
      </c>
      <c r="V168" s="5">
        <f t="shared" si="44"/>
        <v>0</v>
      </c>
      <c r="W168" s="77" t="str">
        <f t="shared" si="40"/>
        <v/>
      </c>
      <c r="X168" s="65" t="str">
        <f t="shared" si="41"/>
        <v/>
      </c>
      <c r="Y168" s="78" t="str">
        <f t="shared" si="42"/>
        <v/>
      </c>
      <c r="Z168" s="21"/>
      <c r="AA168" s="138"/>
      <c r="AB168" s="21"/>
    </row>
    <row r="169" spans="1:28" x14ac:dyDescent="0.25">
      <c r="A169" s="21"/>
      <c r="B169" s="18"/>
      <c r="C169" s="85" t="str">
        <f>IF(B169="","",INDEX(Elements!B:B,MATCH(Design!B169,Elements!A:A,0)))</f>
        <v/>
      </c>
      <c r="D169" s="13"/>
      <c r="E169" s="85" t="str">
        <f>IFERROR(IF(D169="","",INDEX(Elements!J:J,MATCH(Design!D169,Elements!I:I,0))),SUBSTITUTE(D169," ",""))</f>
        <v/>
      </c>
      <c r="F169" s="13"/>
      <c r="G169" s="84" t="str">
        <f>IFERROR(IF(F169="","",INDEX(Elements!L:L,MATCH(Design!F169,Elements!K:K,0))),F169)</f>
        <v/>
      </c>
      <c r="H169" s="12"/>
      <c r="I169" s="14"/>
      <c r="J169" s="63" t="str">
        <f t="shared" ca="1" si="43"/>
        <v>columnHeaders</v>
      </c>
      <c r="K169" s="63">
        <f t="shared" ca="1" si="34"/>
        <v>0</v>
      </c>
      <c r="L169" s="63" t="str">
        <f ca="1">IF(K169="fontFamily","fontFamily",IF(K169="fontSize","fontSize",IFERROR(INDEX(Elements!M:M,MATCH(Design!J169&amp;"|"&amp;Design!K169,Elements!N:N,0)),"")))</f>
        <v/>
      </c>
      <c r="M169" s="65" t="str">
        <f ca="1">IF(OR(L169="",L169="fill"),"",MATCH(IF(L169="enumeration",J169&amp;"|"&amp;G169,Design!L169),Elements!N:N,0))</f>
        <v/>
      </c>
      <c r="N169" s="65" t="str">
        <f t="shared" si="39"/>
        <v/>
      </c>
      <c r="O169" s="65" t="str">
        <f ca="1">"Elements!"&amp;INDEX(Elements!H:H,MATCH(Design!J169,Elements!J:J,0))</f>
        <v>Elements!K36:K44</v>
      </c>
      <c r="P169" s="65" t="str">
        <f t="shared" ca="1" si="45"/>
        <v>"</v>
      </c>
      <c r="Q169" s="75" t="str">
        <f t="shared" si="36"/>
        <v/>
      </c>
      <c r="R169" s="5" t="str">
        <f t="shared" si="37"/>
        <v/>
      </c>
      <c r="S169" s="5" t="str">
        <f t="shared" si="35"/>
        <v/>
      </c>
      <c r="T169" s="76" t="str">
        <f t="shared" si="38"/>
        <v/>
      </c>
      <c r="U169" s="5">
        <f t="shared" si="44"/>
        <v>0</v>
      </c>
      <c r="V169" s="5">
        <f t="shared" si="44"/>
        <v>0</v>
      </c>
      <c r="W169" s="77" t="str">
        <f t="shared" si="40"/>
        <v/>
      </c>
      <c r="X169" s="65" t="str">
        <f t="shared" si="41"/>
        <v/>
      </c>
      <c r="Y169" s="78" t="str">
        <f t="shared" si="42"/>
        <v/>
      </c>
      <c r="Z169" s="21"/>
      <c r="AA169" s="138"/>
      <c r="AB169" s="21"/>
    </row>
    <row r="170" spans="1:28" x14ac:dyDescent="0.25">
      <c r="A170" s="21"/>
      <c r="B170" s="18"/>
      <c r="C170" s="85" t="str">
        <f>IF(B170="","",INDEX(Elements!B:B,MATCH(Design!B170,Elements!A:A,0)))</f>
        <v/>
      </c>
      <c r="D170" s="13"/>
      <c r="E170" s="85" t="str">
        <f>IFERROR(IF(D170="","",INDEX(Elements!J:J,MATCH(Design!D170,Elements!I:I,0))),SUBSTITUTE(D170," ",""))</f>
        <v/>
      </c>
      <c r="F170" s="13"/>
      <c r="G170" s="84" t="str">
        <f>IFERROR(IF(F170="","",INDEX(Elements!L:L,MATCH(Design!F170,Elements!K:K,0))),F170)</f>
        <v/>
      </c>
      <c r="H170" s="12"/>
      <c r="I170" s="14"/>
      <c r="J170" s="63" t="str">
        <f t="shared" ca="1" si="43"/>
        <v>columnHeaders</v>
      </c>
      <c r="K170" s="63">
        <f t="shared" ca="1" si="34"/>
        <v>0</v>
      </c>
      <c r="L170" s="63" t="str">
        <f ca="1">IF(K170="fontFamily","fontFamily",IF(K170="fontSize","fontSize",IFERROR(INDEX(Elements!M:M,MATCH(Design!J170&amp;"|"&amp;Design!K170,Elements!N:N,0)),"")))</f>
        <v/>
      </c>
      <c r="M170" s="65" t="str">
        <f ca="1">IF(OR(L170="",L170="fill"),"",MATCH(IF(L170="enumeration",J170&amp;"|"&amp;G170,Design!L170),Elements!N:N,0))</f>
        <v/>
      </c>
      <c r="N170" s="65" t="str">
        <f t="shared" si="39"/>
        <v/>
      </c>
      <c r="O170" s="65" t="str">
        <f ca="1">"Elements!"&amp;INDEX(Elements!H:H,MATCH(Design!J170,Elements!J:J,0))</f>
        <v>Elements!K36:K44</v>
      </c>
      <c r="P170" s="65" t="str">
        <f t="shared" ca="1" si="45"/>
        <v>"</v>
      </c>
      <c r="Q170" s="75" t="str">
        <f t="shared" si="36"/>
        <v/>
      </c>
      <c r="R170" s="5" t="str">
        <f t="shared" si="37"/>
        <v/>
      </c>
      <c r="S170" s="5" t="str">
        <f t="shared" si="35"/>
        <v/>
      </c>
      <c r="T170" s="76" t="str">
        <f t="shared" si="38"/>
        <v/>
      </c>
      <c r="U170" s="5">
        <f t="shared" si="44"/>
        <v>0</v>
      </c>
      <c r="V170" s="5">
        <f t="shared" si="44"/>
        <v>0</v>
      </c>
      <c r="W170" s="77" t="str">
        <f t="shared" si="40"/>
        <v/>
      </c>
      <c r="X170" s="65" t="str">
        <f t="shared" si="41"/>
        <v/>
      </c>
      <c r="Y170" s="78" t="str">
        <f t="shared" si="42"/>
        <v/>
      </c>
      <c r="Z170" s="21"/>
      <c r="AA170" s="138"/>
      <c r="AB170" s="21"/>
    </row>
    <row r="171" spans="1:28" x14ac:dyDescent="0.25">
      <c r="A171" s="21"/>
      <c r="B171" s="18"/>
      <c r="C171" s="85" t="str">
        <f>IF(B171="","",INDEX(Elements!B:B,MATCH(Design!B171,Elements!A:A,0)))</f>
        <v/>
      </c>
      <c r="D171" s="13"/>
      <c r="E171" s="85" t="str">
        <f>IFERROR(IF(D171="","",INDEX(Elements!J:J,MATCH(Design!D171,Elements!I:I,0))),SUBSTITUTE(D171," ",""))</f>
        <v/>
      </c>
      <c r="F171" s="13"/>
      <c r="G171" s="84" t="str">
        <f>IFERROR(IF(F171="","",INDEX(Elements!L:L,MATCH(Design!F171,Elements!K:K,0))),F171)</f>
        <v/>
      </c>
      <c r="H171" s="12"/>
      <c r="I171" s="14"/>
      <c r="J171" s="63" t="str">
        <f t="shared" ca="1" si="43"/>
        <v>columnHeaders</v>
      </c>
      <c r="K171" s="63">
        <f t="shared" ca="1" si="34"/>
        <v>0</v>
      </c>
      <c r="L171" s="63" t="str">
        <f ca="1">IF(K171="fontFamily","fontFamily",IF(K171="fontSize","fontSize",IFERROR(INDEX(Elements!M:M,MATCH(Design!J171&amp;"|"&amp;Design!K171,Elements!N:N,0)),"")))</f>
        <v/>
      </c>
      <c r="M171" s="65" t="str">
        <f ca="1">IF(OR(L171="",L171="fill"),"",MATCH(IF(L171="enumeration",J171&amp;"|"&amp;G171,Design!L171),Elements!N:N,0))</f>
        <v/>
      </c>
      <c r="N171" s="65" t="str">
        <f t="shared" si="39"/>
        <v/>
      </c>
      <c r="O171" s="65" t="str">
        <f ca="1">"Elements!"&amp;INDEX(Elements!H:H,MATCH(Design!J171,Elements!J:J,0))</f>
        <v>Elements!K36:K44</v>
      </c>
      <c r="P171" s="65" t="str">
        <f t="shared" ca="1" si="45"/>
        <v>"</v>
      </c>
      <c r="Q171" s="75" t="str">
        <f t="shared" si="36"/>
        <v/>
      </c>
      <c r="R171" s="5" t="str">
        <f t="shared" si="37"/>
        <v/>
      </c>
      <c r="S171" s="5" t="str">
        <f t="shared" si="35"/>
        <v/>
      </c>
      <c r="T171" s="76" t="str">
        <f t="shared" si="38"/>
        <v/>
      </c>
      <c r="U171" s="5">
        <f t="shared" si="44"/>
        <v>0</v>
      </c>
      <c r="V171" s="5">
        <f t="shared" si="44"/>
        <v>0</v>
      </c>
      <c r="W171" s="77" t="str">
        <f t="shared" si="40"/>
        <v/>
      </c>
      <c r="X171" s="65" t="str">
        <f t="shared" si="41"/>
        <v/>
      </c>
      <c r="Y171" s="78" t="str">
        <f t="shared" si="42"/>
        <v/>
      </c>
      <c r="Z171" s="21"/>
      <c r="AA171" s="138"/>
      <c r="AB171" s="21"/>
    </row>
    <row r="172" spans="1:28" x14ac:dyDescent="0.25">
      <c r="A172" s="21"/>
      <c r="B172" s="18"/>
      <c r="C172" s="85" t="str">
        <f>IF(B172="","",INDEX(Elements!B:B,MATCH(Design!B172,Elements!A:A,0)))</f>
        <v/>
      </c>
      <c r="D172" s="13"/>
      <c r="E172" s="85" t="str">
        <f>IFERROR(IF(D172="","",INDEX(Elements!J:J,MATCH(Design!D172,Elements!I:I,0))),SUBSTITUTE(D172," ",""))</f>
        <v/>
      </c>
      <c r="F172" s="13"/>
      <c r="G172" s="84" t="str">
        <f>IFERROR(IF(F172="","",INDEX(Elements!L:L,MATCH(Design!F172,Elements!K:K,0))),F172)</f>
        <v/>
      </c>
      <c r="H172" s="12"/>
      <c r="I172" s="14"/>
      <c r="J172" s="63" t="str">
        <f t="shared" ca="1" si="43"/>
        <v>columnHeaders</v>
      </c>
      <c r="K172" s="63">
        <f t="shared" ca="1" si="34"/>
        <v>0</v>
      </c>
      <c r="L172" s="63" t="str">
        <f ca="1">IF(K172="fontFamily","fontFamily",IF(K172="fontSize","fontSize",IFERROR(INDEX(Elements!M:M,MATCH(Design!J172&amp;"|"&amp;Design!K172,Elements!N:N,0)),"")))</f>
        <v/>
      </c>
      <c r="M172" s="65" t="str">
        <f ca="1">IF(OR(L172="",L172="fill"),"",MATCH(IF(L172="enumeration",J172&amp;"|"&amp;G172,Design!L172),Elements!N:N,0))</f>
        <v/>
      </c>
      <c r="N172" s="65" t="str">
        <f t="shared" si="39"/>
        <v/>
      </c>
      <c r="O172" s="65" t="str">
        <f ca="1">"Elements!"&amp;INDEX(Elements!H:H,MATCH(Design!J172,Elements!J:J,0))</f>
        <v>Elements!K36:K44</v>
      </c>
      <c r="P172" s="65" t="str">
        <f t="shared" ca="1" si="45"/>
        <v>"</v>
      </c>
      <c r="Q172" s="75" t="str">
        <f t="shared" si="36"/>
        <v/>
      </c>
      <c r="R172" s="5" t="str">
        <f t="shared" si="37"/>
        <v/>
      </c>
      <c r="S172" s="5" t="str">
        <f t="shared" si="35"/>
        <v/>
      </c>
      <c r="T172" s="76" t="str">
        <f t="shared" si="38"/>
        <v/>
      </c>
      <c r="U172" s="5">
        <f t="shared" si="44"/>
        <v>0</v>
      </c>
      <c r="V172" s="5">
        <f t="shared" si="44"/>
        <v>0</v>
      </c>
      <c r="W172" s="77" t="str">
        <f t="shared" si="40"/>
        <v/>
      </c>
      <c r="X172" s="65" t="str">
        <f t="shared" si="41"/>
        <v/>
      </c>
      <c r="Y172" s="78" t="str">
        <f t="shared" si="42"/>
        <v/>
      </c>
      <c r="Z172" s="21"/>
      <c r="AA172" s="138"/>
      <c r="AB172" s="21"/>
    </row>
    <row r="173" spans="1:28" x14ac:dyDescent="0.25">
      <c r="A173" s="21"/>
      <c r="B173" s="18"/>
      <c r="C173" s="85" t="str">
        <f>IF(B173="","",INDEX(Elements!B:B,MATCH(Design!B173,Elements!A:A,0)))</f>
        <v/>
      </c>
      <c r="D173" s="13"/>
      <c r="E173" s="85" t="str">
        <f>IFERROR(IF(D173="","",INDEX(Elements!J:J,MATCH(Design!D173,Elements!I:I,0))),SUBSTITUTE(D173," ",""))</f>
        <v/>
      </c>
      <c r="F173" s="13"/>
      <c r="G173" s="84" t="str">
        <f>IFERROR(IF(F173="","",INDEX(Elements!L:L,MATCH(Design!F173,Elements!K:K,0))),F173)</f>
        <v/>
      </c>
      <c r="H173" s="12"/>
      <c r="I173" s="14"/>
      <c r="J173" s="63" t="str">
        <f t="shared" ca="1" si="43"/>
        <v>columnHeaders</v>
      </c>
      <c r="K173" s="63">
        <f t="shared" ca="1" si="34"/>
        <v>0</v>
      </c>
      <c r="L173" s="63" t="str">
        <f ca="1">IF(K173="fontFamily","fontFamily",IF(K173="fontSize","fontSize",IFERROR(INDEX(Elements!M:M,MATCH(Design!J173&amp;"|"&amp;Design!K173,Elements!N:N,0)),"")))</f>
        <v/>
      </c>
      <c r="M173" s="65" t="str">
        <f ca="1">IF(OR(L173="",L173="fill"),"",MATCH(IF(L173="enumeration",J173&amp;"|"&amp;G173,Design!L173),Elements!N:N,0))</f>
        <v/>
      </c>
      <c r="N173" s="65" t="str">
        <f t="shared" si="39"/>
        <v/>
      </c>
      <c r="O173" s="65" t="str">
        <f ca="1">"Elements!"&amp;INDEX(Elements!H:H,MATCH(Design!J173,Elements!J:J,0))</f>
        <v>Elements!K36:K44</v>
      </c>
      <c r="P173" s="65" t="str">
        <f t="shared" ca="1" si="45"/>
        <v>"</v>
      </c>
      <c r="Q173" s="75" t="str">
        <f t="shared" si="36"/>
        <v/>
      </c>
      <c r="R173" s="5" t="str">
        <f t="shared" si="37"/>
        <v/>
      </c>
      <c r="S173" s="5" t="str">
        <f t="shared" si="35"/>
        <v/>
      </c>
      <c r="T173" s="76" t="str">
        <f t="shared" si="38"/>
        <v/>
      </c>
      <c r="U173" s="5">
        <f t="shared" si="44"/>
        <v>0</v>
      </c>
      <c r="V173" s="5">
        <f t="shared" si="44"/>
        <v>0</v>
      </c>
      <c r="W173" s="77" t="str">
        <f t="shared" si="40"/>
        <v/>
      </c>
      <c r="X173" s="65" t="str">
        <f t="shared" si="41"/>
        <v/>
      </c>
      <c r="Y173" s="78" t="str">
        <f t="shared" si="42"/>
        <v/>
      </c>
      <c r="Z173" s="21"/>
      <c r="AA173" s="138"/>
      <c r="AB173" s="21"/>
    </row>
    <row r="174" spans="1:28" x14ac:dyDescent="0.25">
      <c r="A174" s="21"/>
      <c r="B174" s="18"/>
      <c r="C174" s="85" t="str">
        <f>IF(B174="","",INDEX(Elements!B:B,MATCH(Design!B174,Elements!A:A,0)))</f>
        <v/>
      </c>
      <c r="D174" s="13"/>
      <c r="E174" s="85" t="str">
        <f>IFERROR(IF(D174="","",INDEX(Elements!J:J,MATCH(Design!D174,Elements!I:I,0))),SUBSTITUTE(D174," ",""))</f>
        <v/>
      </c>
      <c r="F174" s="13"/>
      <c r="G174" s="84" t="str">
        <f>IFERROR(IF(F174="","",INDEX(Elements!L:L,MATCH(Design!F174,Elements!K:K,0))),F174)</f>
        <v/>
      </c>
      <c r="H174" s="12"/>
      <c r="I174" s="14"/>
      <c r="J174" s="63" t="str">
        <f t="shared" ca="1" si="43"/>
        <v>columnHeaders</v>
      </c>
      <c r="K174" s="63">
        <f t="shared" ca="1" si="34"/>
        <v>0</v>
      </c>
      <c r="L174" s="63" t="str">
        <f ca="1">IF(K174="fontFamily","fontFamily",IF(K174="fontSize","fontSize",IFERROR(INDEX(Elements!M:M,MATCH(Design!J174&amp;"|"&amp;Design!K174,Elements!N:N,0)),"")))</f>
        <v/>
      </c>
      <c r="M174" s="65" t="str">
        <f ca="1">IF(OR(L174="",L174="fill"),"",MATCH(IF(L174="enumeration",J174&amp;"|"&amp;G174,Design!L174),Elements!N:N,0))</f>
        <v/>
      </c>
      <c r="N174" s="65" t="str">
        <f t="shared" si="39"/>
        <v/>
      </c>
      <c r="O174" s="65" t="str">
        <f ca="1">"Elements!"&amp;INDEX(Elements!H:H,MATCH(Design!J174,Elements!J:J,0))</f>
        <v>Elements!K36:K44</v>
      </c>
      <c r="P174" s="65" t="str">
        <f t="shared" ca="1" si="45"/>
        <v>"</v>
      </c>
      <c r="Q174" s="75" t="str">
        <f t="shared" si="36"/>
        <v/>
      </c>
      <c r="R174" s="5" t="str">
        <f t="shared" si="37"/>
        <v/>
      </c>
      <c r="S174" s="5" t="str">
        <f t="shared" si="35"/>
        <v/>
      </c>
      <c r="T174" s="76" t="str">
        <f t="shared" si="38"/>
        <v/>
      </c>
      <c r="U174" s="5">
        <f t="shared" si="44"/>
        <v>0</v>
      </c>
      <c r="V174" s="5">
        <f t="shared" si="44"/>
        <v>0</v>
      </c>
      <c r="W174" s="77" t="str">
        <f t="shared" si="40"/>
        <v/>
      </c>
      <c r="X174" s="65" t="str">
        <f t="shared" si="41"/>
        <v/>
      </c>
      <c r="Y174" s="78" t="str">
        <f t="shared" si="42"/>
        <v/>
      </c>
      <c r="Z174" s="21"/>
      <c r="AA174" s="138"/>
      <c r="AB174" s="21"/>
    </row>
    <row r="175" spans="1:28" x14ac:dyDescent="0.25">
      <c r="A175" s="21"/>
      <c r="B175" s="18"/>
      <c r="C175" s="85" t="str">
        <f>IF(B175="","",INDEX(Elements!B:B,MATCH(Design!B175,Elements!A:A,0)))</f>
        <v/>
      </c>
      <c r="D175" s="13"/>
      <c r="E175" s="85" t="str">
        <f>IFERROR(IF(D175="","",INDEX(Elements!J:J,MATCH(Design!D175,Elements!I:I,0))),SUBSTITUTE(D175," ",""))</f>
        <v/>
      </c>
      <c r="F175" s="13"/>
      <c r="G175" s="84" t="str">
        <f>IFERROR(IF(F175="","",INDEX(Elements!L:L,MATCH(Design!F175,Elements!K:K,0))),F175)</f>
        <v/>
      </c>
      <c r="H175" s="12"/>
      <c r="I175" s="14"/>
      <c r="J175" s="63" t="str">
        <f t="shared" ca="1" si="43"/>
        <v>columnHeaders</v>
      </c>
      <c r="K175" s="63">
        <f t="shared" ca="1" si="34"/>
        <v>0</v>
      </c>
      <c r="L175" s="63" t="str">
        <f ca="1">IF(K175="fontFamily","fontFamily",IF(K175="fontSize","fontSize",IFERROR(INDEX(Elements!M:M,MATCH(Design!J175&amp;"|"&amp;Design!K175,Elements!N:N,0)),"")))</f>
        <v/>
      </c>
      <c r="M175" s="65" t="str">
        <f ca="1">IF(OR(L175="",L175="fill"),"",MATCH(IF(L175="enumeration",J175&amp;"|"&amp;G175,Design!L175),Elements!N:N,0))</f>
        <v/>
      </c>
      <c r="N175" s="65" t="str">
        <f t="shared" si="39"/>
        <v/>
      </c>
      <c r="O175" s="65" t="str">
        <f ca="1">"Elements!"&amp;INDEX(Elements!H:H,MATCH(Design!J175,Elements!J:J,0))</f>
        <v>Elements!K36:K44</v>
      </c>
      <c r="P175" s="65" t="str">
        <f t="shared" ca="1" si="45"/>
        <v>"</v>
      </c>
      <c r="Q175" s="75" t="str">
        <f t="shared" si="36"/>
        <v/>
      </c>
      <c r="R175" s="5" t="str">
        <f t="shared" si="37"/>
        <v/>
      </c>
      <c r="S175" s="5" t="str">
        <f t="shared" si="35"/>
        <v/>
      </c>
      <c r="T175" s="76" t="str">
        <f t="shared" si="38"/>
        <v/>
      </c>
      <c r="U175" s="5">
        <f t="shared" si="44"/>
        <v>0</v>
      </c>
      <c r="V175" s="5">
        <f t="shared" si="44"/>
        <v>0</v>
      </c>
      <c r="W175" s="77" t="str">
        <f t="shared" si="40"/>
        <v/>
      </c>
      <c r="X175" s="65" t="str">
        <f t="shared" si="41"/>
        <v/>
      </c>
      <c r="Y175" s="78" t="str">
        <f t="shared" si="42"/>
        <v/>
      </c>
      <c r="Z175" s="21"/>
      <c r="AA175" s="138"/>
      <c r="AB175" s="21"/>
    </row>
    <row r="176" spans="1:28" x14ac:dyDescent="0.25">
      <c r="A176" s="21"/>
      <c r="B176" s="18"/>
      <c r="C176" s="85" t="str">
        <f>IF(B176="","",INDEX(Elements!B:B,MATCH(Design!B176,Elements!A:A,0)))</f>
        <v/>
      </c>
      <c r="D176" s="13"/>
      <c r="E176" s="85" t="str">
        <f>IFERROR(IF(D176="","",INDEX(Elements!J:J,MATCH(Design!D176,Elements!I:I,0))),SUBSTITUTE(D176," ",""))</f>
        <v/>
      </c>
      <c r="F176" s="13"/>
      <c r="G176" s="84" t="str">
        <f>IFERROR(IF(F176="","",INDEX(Elements!L:L,MATCH(Design!F176,Elements!K:K,0))),F176)</f>
        <v/>
      </c>
      <c r="H176" s="12"/>
      <c r="I176" s="14"/>
      <c r="J176" s="63" t="str">
        <f t="shared" ca="1" si="43"/>
        <v>columnHeaders</v>
      </c>
      <c r="K176" s="63">
        <f t="shared" ca="1" si="34"/>
        <v>0</v>
      </c>
      <c r="L176" s="63" t="str">
        <f ca="1">IF(K176="fontFamily","fontFamily",IF(K176="fontSize","fontSize",IFERROR(INDEX(Elements!M:M,MATCH(Design!J176&amp;"|"&amp;Design!K176,Elements!N:N,0)),"")))</f>
        <v/>
      </c>
      <c r="M176" s="65" t="str">
        <f ca="1">IF(OR(L176="",L176="fill"),"",MATCH(IF(L176="enumeration",J176&amp;"|"&amp;G176,Design!L176),Elements!N:N,0))</f>
        <v/>
      </c>
      <c r="N176" s="65" t="str">
        <f t="shared" si="39"/>
        <v/>
      </c>
      <c r="O176" s="65" t="str">
        <f ca="1">"Elements!"&amp;INDEX(Elements!H:H,MATCH(Design!J176,Elements!J:J,0))</f>
        <v>Elements!K36:K44</v>
      </c>
      <c r="P176" s="65" t="str">
        <f t="shared" ca="1" si="45"/>
        <v>"</v>
      </c>
      <c r="Q176" s="75" t="str">
        <f t="shared" si="36"/>
        <v/>
      </c>
      <c r="R176" s="5" t="str">
        <f t="shared" si="37"/>
        <v/>
      </c>
      <c r="S176" s="5" t="str">
        <f t="shared" si="35"/>
        <v/>
      </c>
      <c r="T176" s="76" t="str">
        <f t="shared" si="38"/>
        <v/>
      </c>
      <c r="U176" s="5">
        <f t="shared" si="44"/>
        <v>0</v>
      </c>
      <c r="V176" s="5">
        <f t="shared" si="44"/>
        <v>0</v>
      </c>
      <c r="W176" s="77" t="str">
        <f t="shared" si="40"/>
        <v/>
      </c>
      <c r="X176" s="65" t="str">
        <f t="shared" si="41"/>
        <v/>
      </c>
      <c r="Y176" s="78" t="str">
        <f t="shared" si="42"/>
        <v/>
      </c>
      <c r="Z176" s="21"/>
      <c r="AA176" s="138"/>
      <c r="AB176" s="21"/>
    </row>
    <row r="177" spans="1:28" x14ac:dyDescent="0.25">
      <c r="A177" s="21"/>
      <c r="B177" s="18"/>
      <c r="C177" s="85" t="str">
        <f>IF(B177="","",INDEX(Elements!B:B,MATCH(Design!B177,Elements!A:A,0)))</f>
        <v/>
      </c>
      <c r="D177" s="13"/>
      <c r="E177" s="85" t="str">
        <f>IFERROR(IF(D177="","",INDEX(Elements!J:J,MATCH(Design!D177,Elements!I:I,0))),SUBSTITUTE(D177," ",""))</f>
        <v/>
      </c>
      <c r="F177" s="13"/>
      <c r="G177" s="84" t="str">
        <f>IFERROR(IF(F177="","",INDEX(Elements!L:L,MATCH(Design!F177,Elements!K:K,0))),F177)</f>
        <v/>
      </c>
      <c r="H177" s="12"/>
      <c r="I177" s="14"/>
      <c r="J177" s="63" t="str">
        <f t="shared" ca="1" si="43"/>
        <v>columnHeaders</v>
      </c>
      <c r="K177" s="63">
        <f t="shared" ca="1" si="34"/>
        <v>0</v>
      </c>
      <c r="L177" s="63" t="str">
        <f ca="1">IF(K177="fontFamily","fontFamily",IF(K177="fontSize","fontSize",IFERROR(INDEX(Elements!M:M,MATCH(Design!J177&amp;"|"&amp;Design!K177,Elements!N:N,0)),"")))</f>
        <v/>
      </c>
      <c r="M177" s="65" t="str">
        <f ca="1">IF(OR(L177="",L177="fill"),"",MATCH(IF(L177="enumeration",J177&amp;"|"&amp;G177,Design!L177),Elements!N:N,0))</f>
        <v/>
      </c>
      <c r="N177" s="65" t="str">
        <f t="shared" si="39"/>
        <v/>
      </c>
      <c r="O177" s="65" t="str">
        <f ca="1">"Elements!"&amp;INDEX(Elements!H:H,MATCH(Design!J177,Elements!J:J,0))</f>
        <v>Elements!K36:K44</v>
      </c>
      <c r="P177" s="65" t="str">
        <f t="shared" ca="1" si="45"/>
        <v>"</v>
      </c>
      <c r="Q177" s="75" t="str">
        <f t="shared" si="36"/>
        <v/>
      </c>
      <c r="R177" s="5" t="str">
        <f t="shared" si="37"/>
        <v/>
      </c>
      <c r="S177" s="5" t="str">
        <f t="shared" si="35"/>
        <v/>
      </c>
      <c r="T177" s="76" t="str">
        <f t="shared" si="38"/>
        <v/>
      </c>
      <c r="U177" s="5">
        <f t="shared" si="44"/>
        <v>0</v>
      </c>
      <c r="V177" s="5">
        <f t="shared" si="44"/>
        <v>0</v>
      </c>
      <c r="W177" s="77" t="str">
        <f t="shared" si="40"/>
        <v/>
      </c>
      <c r="X177" s="65" t="str">
        <f t="shared" si="41"/>
        <v/>
      </c>
      <c r="Y177" s="78" t="str">
        <f t="shared" si="42"/>
        <v/>
      </c>
      <c r="Z177" s="21"/>
      <c r="AA177" s="138"/>
      <c r="AB177" s="21"/>
    </row>
    <row r="178" spans="1:28" x14ac:dyDescent="0.25">
      <c r="A178" s="21"/>
      <c r="B178" s="18"/>
      <c r="C178" s="85" t="str">
        <f>IF(B178="","",INDEX(Elements!B:B,MATCH(Design!B178,Elements!A:A,0)))</f>
        <v/>
      </c>
      <c r="D178" s="13"/>
      <c r="E178" s="85" t="str">
        <f>IFERROR(IF(D178="","",INDEX(Elements!J:J,MATCH(Design!D178,Elements!I:I,0))),SUBSTITUTE(D178," ",""))</f>
        <v/>
      </c>
      <c r="F178" s="13"/>
      <c r="G178" s="84" t="str">
        <f>IFERROR(IF(F178="","",INDEX(Elements!L:L,MATCH(Design!F178,Elements!K:K,0))),F178)</f>
        <v/>
      </c>
      <c r="H178" s="12"/>
      <c r="I178" s="14"/>
      <c r="J178" s="63" t="str">
        <f t="shared" ca="1" si="43"/>
        <v>columnHeaders</v>
      </c>
      <c r="K178" s="63">
        <f t="shared" ca="1" si="34"/>
        <v>0</v>
      </c>
      <c r="L178" s="63" t="str">
        <f ca="1">IF(K178="fontFamily","fontFamily",IF(K178="fontSize","fontSize",IFERROR(INDEX(Elements!M:M,MATCH(Design!J178&amp;"|"&amp;Design!K178,Elements!N:N,0)),"")))</f>
        <v/>
      </c>
      <c r="M178" s="65" t="str">
        <f ca="1">IF(OR(L178="",L178="fill"),"",MATCH(IF(L178="enumeration",J178&amp;"|"&amp;G178,Design!L178),Elements!N:N,0))</f>
        <v/>
      </c>
      <c r="N178" s="65" t="str">
        <f t="shared" si="39"/>
        <v/>
      </c>
      <c r="O178" s="65" t="str">
        <f ca="1">"Elements!"&amp;INDEX(Elements!H:H,MATCH(Design!J178,Elements!J:J,0))</f>
        <v>Elements!K36:K44</v>
      </c>
      <c r="P178" s="65" t="str">
        <f t="shared" ca="1" si="45"/>
        <v>"</v>
      </c>
      <c r="Q178" s="75" t="str">
        <f t="shared" si="36"/>
        <v/>
      </c>
      <c r="R178" s="5" t="str">
        <f t="shared" si="37"/>
        <v/>
      </c>
      <c r="S178" s="5" t="str">
        <f t="shared" si="35"/>
        <v/>
      </c>
      <c r="T178" s="76" t="str">
        <f t="shared" si="38"/>
        <v/>
      </c>
      <c r="U178" s="5">
        <f t="shared" si="44"/>
        <v>0</v>
      </c>
      <c r="V178" s="5">
        <f t="shared" si="44"/>
        <v>0</v>
      </c>
      <c r="W178" s="77" t="str">
        <f t="shared" si="40"/>
        <v/>
      </c>
      <c r="X178" s="65" t="str">
        <f t="shared" si="41"/>
        <v/>
      </c>
      <c r="Y178" s="78" t="str">
        <f t="shared" si="42"/>
        <v/>
      </c>
      <c r="Z178" s="21"/>
      <c r="AA178" s="138"/>
      <c r="AB178" s="21"/>
    </row>
    <row r="179" spans="1:28" x14ac:dyDescent="0.25">
      <c r="A179" s="21"/>
      <c r="B179" s="18"/>
      <c r="C179" s="85" t="str">
        <f>IF(B179="","",INDEX(Elements!B:B,MATCH(Design!B179,Elements!A:A,0)))</f>
        <v/>
      </c>
      <c r="D179" s="13"/>
      <c r="E179" s="85" t="str">
        <f>IFERROR(IF(D179="","",INDEX(Elements!J:J,MATCH(Design!D179,Elements!I:I,0))),SUBSTITUTE(D179," ",""))</f>
        <v/>
      </c>
      <c r="F179" s="13"/>
      <c r="G179" s="84" t="str">
        <f>IFERROR(IF(F179="","",INDEX(Elements!L:L,MATCH(Design!F179,Elements!K:K,0))),F179)</f>
        <v/>
      </c>
      <c r="H179" s="12"/>
      <c r="I179" s="14"/>
      <c r="J179" s="63" t="str">
        <f t="shared" ca="1" si="43"/>
        <v>columnHeaders</v>
      </c>
      <c r="K179" s="63">
        <f t="shared" ca="1" si="34"/>
        <v>0</v>
      </c>
      <c r="L179" s="63" t="str">
        <f ca="1">IF(K179="fontFamily","fontFamily",IF(K179="fontSize","fontSize",IFERROR(INDEX(Elements!M:M,MATCH(Design!J179&amp;"|"&amp;Design!K179,Elements!N:N,0)),"")))</f>
        <v/>
      </c>
      <c r="M179" s="65" t="str">
        <f ca="1">IF(OR(L179="",L179="fill"),"",MATCH(IF(L179="enumeration",J179&amp;"|"&amp;G179,Design!L179),Elements!N:N,0))</f>
        <v/>
      </c>
      <c r="N179" s="65" t="str">
        <f t="shared" si="39"/>
        <v/>
      </c>
      <c r="O179" s="65" t="str">
        <f ca="1">"Elements!"&amp;INDEX(Elements!H:H,MATCH(Design!J179,Elements!J:J,0))</f>
        <v>Elements!K36:K44</v>
      </c>
      <c r="P179" s="65" t="str">
        <f t="shared" ca="1" si="45"/>
        <v>"</v>
      </c>
      <c r="Q179" s="75" t="str">
        <f t="shared" si="36"/>
        <v/>
      </c>
      <c r="R179" s="5" t="str">
        <f t="shared" si="37"/>
        <v/>
      </c>
      <c r="S179" s="5" t="str">
        <f t="shared" si="35"/>
        <v/>
      </c>
      <c r="T179" s="76" t="str">
        <f t="shared" si="38"/>
        <v/>
      </c>
      <c r="U179" s="5">
        <f t="shared" si="44"/>
        <v>0</v>
      </c>
      <c r="V179" s="5">
        <f t="shared" si="44"/>
        <v>0</v>
      </c>
      <c r="W179" s="77" t="str">
        <f t="shared" si="40"/>
        <v/>
      </c>
      <c r="X179" s="65" t="str">
        <f t="shared" si="41"/>
        <v/>
      </c>
      <c r="Y179" s="78" t="str">
        <f t="shared" si="42"/>
        <v/>
      </c>
      <c r="Z179" s="21"/>
      <c r="AA179" s="138"/>
      <c r="AB179" s="21"/>
    </row>
    <row r="180" spans="1:28" x14ac:dyDescent="0.25">
      <c r="A180" s="21"/>
      <c r="B180" s="18"/>
      <c r="C180" s="85" t="str">
        <f>IF(B180="","",INDEX(Elements!B:B,MATCH(Design!B180,Elements!A:A,0)))</f>
        <v/>
      </c>
      <c r="D180" s="13"/>
      <c r="E180" s="85" t="str">
        <f>IFERROR(IF(D180="","",INDEX(Elements!J:J,MATCH(Design!D180,Elements!I:I,0))),SUBSTITUTE(D180," ",""))</f>
        <v/>
      </c>
      <c r="F180" s="13"/>
      <c r="G180" s="84" t="str">
        <f>IFERROR(IF(F180="","",INDEX(Elements!L:L,MATCH(Design!F180,Elements!K:K,0))),F180)</f>
        <v/>
      </c>
      <c r="H180" s="12"/>
      <c r="I180" s="14"/>
      <c r="J180" s="63" t="str">
        <f t="shared" ca="1" si="43"/>
        <v>columnHeaders</v>
      </c>
      <c r="K180" s="63">
        <f t="shared" ca="1" si="34"/>
        <v>0</v>
      </c>
      <c r="L180" s="63" t="str">
        <f ca="1">IF(K180="fontFamily","fontFamily",IF(K180="fontSize","fontSize",IFERROR(INDEX(Elements!M:M,MATCH(Design!J180&amp;"|"&amp;Design!K180,Elements!N:N,0)),"")))</f>
        <v/>
      </c>
      <c r="M180" s="65" t="str">
        <f ca="1">IF(OR(L180="",L180="fill"),"",MATCH(IF(L180="enumeration",J180&amp;"|"&amp;G180,Design!L180),Elements!N:N,0))</f>
        <v/>
      </c>
      <c r="N180" s="65" t="str">
        <f t="shared" si="39"/>
        <v/>
      </c>
      <c r="O180" s="65" t="str">
        <f ca="1">"Elements!"&amp;INDEX(Elements!H:H,MATCH(Design!J180,Elements!J:J,0))</f>
        <v>Elements!K36:K44</v>
      </c>
      <c r="P180" s="65" t="str">
        <f t="shared" ca="1" si="45"/>
        <v>"</v>
      </c>
      <c r="Q180" s="75" t="str">
        <f t="shared" si="36"/>
        <v/>
      </c>
      <c r="R180" s="5" t="str">
        <f t="shared" si="37"/>
        <v/>
      </c>
      <c r="S180" s="5" t="str">
        <f t="shared" si="35"/>
        <v/>
      </c>
      <c r="T180" s="76" t="str">
        <f t="shared" si="38"/>
        <v/>
      </c>
      <c r="U180" s="5">
        <f t="shared" si="44"/>
        <v>0</v>
      </c>
      <c r="V180" s="5">
        <f t="shared" si="44"/>
        <v>0</v>
      </c>
      <c r="W180" s="77" t="str">
        <f t="shared" si="40"/>
        <v/>
      </c>
      <c r="X180" s="65" t="str">
        <f t="shared" si="41"/>
        <v/>
      </c>
      <c r="Y180" s="78" t="str">
        <f t="shared" si="42"/>
        <v/>
      </c>
      <c r="Z180" s="21"/>
      <c r="AA180" s="138"/>
      <c r="AB180" s="21"/>
    </row>
    <row r="181" spans="1:28" x14ac:dyDescent="0.25">
      <c r="A181" s="21"/>
      <c r="B181" s="18"/>
      <c r="C181" s="85" t="str">
        <f>IF(B181="","",INDEX(Elements!B:B,MATCH(Design!B181,Elements!A:A,0)))</f>
        <v/>
      </c>
      <c r="D181" s="13"/>
      <c r="E181" s="85" t="str">
        <f>IFERROR(IF(D181="","",INDEX(Elements!J:J,MATCH(Design!D181,Elements!I:I,0))),SUBSTITUTE(D181," ",""))</f>
        <v/>
      </c>
      <c r="F181" s="13"/>
      <c r="G181" s="84" t="str">
        <f>IFERROR(IF(F181="","",INDEX(Elements!L:L,MATCH(Design!F181,Elements!K:K,0))),F181)</f>
        <v/>
      </c>
      <c r="H181" s="12"/>
      <c r="I181" s="14"/>
      <c r="J181" s="63" t="str">
        <f t="shared" ca="1" si="43"/>
        <v>columnHeaders</v>
      </c>
      <c r="K181" s="63">
        <f t="shared" ca="1" si="34"/>
        <v>0</v>
      </c>
      <c r="L181" s="63" t="str">
        <f ca="1">IF(K181="fontFamily","fontFamily",IF(K181="fontSize","fontSize",IFERROR(INDEX(Elements!M:M,MATCH(Design!J181&amp;"|"&amp;Design!K181,Elements!N:N,0)),"")))</f>
        <v/>
      </c>
      <c r="M181" s="65" t="str">
        <f ca="1">IF(OR(L181="",L181="fill"),"",MATCH(IF(L181="enumeration",J181&amp;"|"&amp;G181,Design!L181),Elements!N:N,0))</f>
        <v/>
      </c>
      <c r="N181" s="65" t="str">
        <f t="shared" si="39"/>
        <v/>
      </c>
      <c r="O181" s="65" t="str">
        <f ca="1">"Elements!"&amp;INDEX(Elements!H:H,MATCH(Design!J181,Elements!J:J,0))</f>
        <v>Elements!K36:K44</v>
      </c>
      <c r="P181" s="65" t="str">
        <f t="shared" ca="1" si="45"/>
        <v>"</v>
      </c>
      <c r="Q181" s="75" t="str">
        <f t="shared" si="36"/>
        <v/>
      </c>
      <c r="R181" s="5" t="str">
        <f t="shared" si="37"/>
        <v/>
      </c>
      <c r="S181" s="5" t="str">
        <f t="shared" si="35"/>
        <v/>
      </c>
      <c r="T181" s="76" t="str">
        <f t="shared" si="38"/>
        <v/>
      </c>
      <c r="U181" s="5">
        <f t="shared" si="44"/>
        <v>0</v>
      </c>
      <c r="V181" s="5">
        <f t="shared" si="44"/>
        <v>0</v>
      </c>
      <c r="W181" s="77" t="str">
        <f t="shared" si="40"/>
        <v/>
      </c>
      <c r="X181" s="65" t="str">
        <f t="shared" si="41"/>
        <v/>
      </c>
      <c r="Y181" s="78" t="str">
        <f t="shared" si="42"/>
        <v/>
      </c>
      <c r="Z181" s="21"/>
      <c r="AA181" s="138"/>
      <c r="AB181" s="21"/>
    </row>
    <row r="182" spans="1:28" x14ac:dyDescent="0.25">
      <c r="A182" s="21"/>
      <c r="B182" s="18"/>
      <c r="C182" s="85" t="str">
        <f>IF(B182="","",INDEX(Elements!B:B,MATCH(Design!B182,Elements!A:A,0)))</f>
        <v/>
      </c>
      <c r="D182" s="13"/>
      <c r="E182" s="85" t="str">
        <f>IFERROR(IF(D182="","",INDEX(Elements!J:J,MATCH(Design!D182,Elements!I:I,0))),SUBSTITUTE(D182," ",""))</f>
        <v/>
      </c>
      <c r="F182" s="13"/>
      <c r="G182" s="84" t="str">
        <f>IFERROR(IF(F182="","",INDEX(Elements!L:L,MATCH(Design!F182,Elements!K:K,0))),F182)</f>
        <v/>
      </c>
      <c r="H182" s="12"/>
      <c r="I182" s="14"/>
      <c r="J182" s="63" t="str">
        <f t="shared" ca="1" si="43"/>
        <v>columnHeaders</v>
      </c>
      <c r="K182" s="63">
        <f t="shared" ca="1" si="34"/>
        <v>0</v>
      </c>
      <c r="L182" s="63" t="str">
        <f ca="1">IF(K182="fontFamily","fontFamily",IF(K182="fontSize","fontSize",IFERROR(INDEX(Elements!M:M,MATCH(Design!J182&amp;"|"&amp;Design!K182,Elements!N:N,0)),"")))</f>
        <v/>
      </c>
      <c r="M182" s="65" t="str">
        <f ca="1">IF(OR(L182="",L182="fill"),"",MATCH(IF(L182="enumeration",J182&amp;"|"&amp;G182,Design!L182),Elements!N:N,0))</f>
        <v/>
      </c>
      <c r="N182" s="65" t="str">
        <f t="shared" si="39"/>
        <v/>
      </c>
      <c r="O182" s="65" t="str">
        <f ca="1">"Elements!"&amp;INDEX(Elements!H:H,MATCH(Design!J182,Elements!J:J,0))</f>
        <v>Elements!K36:K44</v>
      </c>
      <c r="P182" s="65" t="str">
        <f t="shared" ca="1" si="45"/>
        <v>"</v>
      </c>
      <c r="Q182" s="75" t="str">
        <f t="shared" si="36"/>
        <v/>
      </c>
      <c r="R182" s="5" t="str">
        <f t="shared" si="37"/>
        <v/>
      </c>
      <c r="S182" s="5" t="str">
        <f t="shared" si="35"/>
        <v/>
      </c>
      <c r="T182" s="76" t="str">
        <f t="shared" si="38"/>
        <v/>
      </c>
      <c r="U182" s="5">
        <f t="shared" si="44"/>
        <v>0</v>
      </c>
      <c r="V182" s="5">
        <f t="shared" si="44"/>
        <v>0</v>
      </c>
      <c r="W182" s="77" t="str">
        <f t="shared" si="40"/>
        <v/>
      </c>
      <c r="X182" s="65" t="str">
        <f t="shared" si="41"/>
        <v/>
      </c>
      <c r="Y182" s="78" t="str">
        <f t="shared" si="42"/>
        <v/>
      </c>
      <c r="Z182" s="21"/>
      <c r="AA182" s="138"/>
      <c r="AB182" s="21"/>
    </row>
    <row r="183" spans="1:28" x14ac:dyDescent="0.25">
      <c r="A183" s="21"/>
      <c r="B183" s="18"/>
      <c r="C183" s="85" t="str">
        <f>IF(B183="","",INDEX(Elements!B:B,MATCH(Design!B183,Elements!A:A,0)))</f>
        <v/>
      </c>
      <c r="D183" s="13"/>
      <c r="E183" s="85" t="str">
        <f>IFERROR(IF(D183="","",INDEX(Elements!J:J,MATCH(Design!D183,Elements!I:I,0))),SUBSTITUTE(D183," ",""))</f>
        <v/>
      </c>
      <c r="F183" s="13"/>
      <c r="G183" s="84" t="str">
        <f>IFERROR(IF(F183="","",INDEX(Elements!L:L,MATCH(Design!F183,Elements!K:K,0))),F183)</f>
        <v/>
      </c>
      <c r="H183" s="12"/>
      <c r="I183" s="14"/>
      <c r="J183" s="63" t="str">
        <f t="shared" ca="1" si="43"/>
        <v>columnHeaders</v>
      </c>
      <c r="K183" s="63">
        <f t="shared" ca="1" si="34"/>
        <v>0</v>
      </c>
      <c r="L183" s="63" t="str">
        <f ca="1">IF(K183="fontFamily","fontFamily",IF(K183="fontSize","fontSize",IFERROR(INDEX(Elements!M:M,MATCH(Design!J183&amp;"|"&amp;Design!K183,Elements!N:N,0)),"")))</f>
        <v/>
      </c>
      <c r="M183" s="65" t="str">
        <f ca="1">IF(OR(L183="",L183="fill"),"",MATCH(IF(L183="enumeration",J183&amp;"|"&amp;G183,Design!L183),Elements!N:N,0))</f>
        <v/>
      </c>
      <c r="N183" s="65" t="str">
        <f t="shared" si="39"/>
        <v/>
      </c>
      <c r="O183" s="65" t="str">
        <f ca="1">"Elements!"&amp;INDEX(Elements!H:H,MATCH(Design!J183,Elements!J:J,0))</f>
        <v>Elements!K36:K44</v>
      </c>
      <c r="P183" s="65" t="str">
        <f t="shared" ca="1" si="45"/>
        <v>"</v>
      </c>
      <c r="Q183" s="75" t="str">
        <f t="shared" si="36"/>
        <v/>
      </c>
      <c r="R183" s="5" t="str">
        <f t="shared" si="37"/>
        <v/>
      </c>
      <c r="S183" s="5" t="str">
        <f t="shared" si="35"/>
        <v/>
      </c>
      <c r="T183" s="76" t="str">
        <f t="shared" si="38"/>
        <v/>
      </c>
      <c r="U183" s="5">
        <f t="shared" si="44"/>
        <v>0</v>
      </c>
      <c r="V183" s="5">
        <f t="shared" si="44"/>
        <v>0</v>
      </c>
      <c r="W183" s="77" t="str">
        <f t="shared" si="40"/>
        <v/>
      </c>
      <c r="X183" s="65" t="str">
        <f t="shared" si="41"/>
        <v/>
      </c>
      <c r="Y183" s="78" t="str">
        <f t="shared" si="42"/>
        <v/>
      </c>
      <c r="Z183" s="21"/>
      <c r="AA183" s="138"/>
      <c r="AB183" s="21"/>
    </row>
    <row r="184" spans="1:28" x14ac:dyDescent="0.25">
      <c r="A184" s="21"/>
      <c r="B184" s="18"/>
      <c r="C184" s="85" t="str">
        <f>IF(B184="","",INDEX(Elements!B:B,MATCH(Design!B184,Elements!A:A,0)))</f>
        <v/>
      </c>
      <c r="D184" s="13"/>
      <c r="E184" s="85" t="str">
        <f>IFERROR(IF(D184="","",INDEX(Elements!J:J,MATCH(Design!D184,Elements!I:I,0))),SUBSTITUTE(D184," ",""))</f>
        <v/>
      </c>
      <c r="F184" s="13"/>
      <c r="G184" s="84" t="str">
        <f>IFERROR(IF(F184="","",INDEX(Elements!L:L,MATCH(Design!F184,Elements!K:K,0))),F184)</f>
        <v/>
      </c>
      <c r="H184" s="12"/>
      <c r="I184" s="14"/>
      <c r="J184" s="63" t="str">
        <f t="shared" ca="1" si="43"/>
        <v>columnHeaders</v>
      </c>
      <c r="K184" s="63">
        <f t="shared" ca="1" si="34"/>
        <v>0</v>
      </c>
      <c r="L184" s="63" t="str">
        <f ca="1">IF(K184="fontFamily","fontFamily",IF(K184="fontSize","fontSize",IFERROR(INDEX(Elements!M:M,MATCH(Design!J184&amp;"|"&amp;Design!K184,Elements!N:N,0)),"")))</f>
        <v/>
      </c>
      <c r="M184" s="65" t="str">
        <f ca="1">IF(OR(L184="",L184="fill"),"",MATCH(IF(L184="enumeration",J184&amp;"|"&amp;G184,Design!L184),Elements!N:N,0))</f>
        <v/>
      </c>
      <c r="N184" s="65" t="str">
        <f t="shared" si="39"/>
        <v/>
      </c>
      <c r="O184" s="65" t="str">
        <f ca="1">"Elements!"&amp;INDEX(Elements!H:H,MATCH(Design!J184,Elements!J:J,0))</f>
        <v>Elements!K36:K44</v>
      </c>
      <c r="P184" s="65" t="str">
        <f t="shared" ca="1" si="45"/>
        <v>"</v>
      </c>
      <c r="Q184" s="75" t="str">
        <f t="shared" si="36"/>
        <v/>
      </c>
      <c r="R184" s="5" t="str">
        <f t="shared" si="37"/>
        <v/>
      </c>
      <c r="S184" s="5" t="str">
        <f t="shared" si="35"/>
        <v/>
      </c>
      <c r="T184" s="76" t="str">
        <f t="shared" si="38"/>
        <v/>
      </c>
      <c r="U184" s="5">
        <f t="shared" si="44"/>
        <v>0</v>
      </c>
      <c r="V184" s="5">
        <f t="shared" si="44"/>
        <v>0</v>
      </c>
      <c r="W184" s="77" t="str">
        <f t="shared" si="40"/>
        <v/>
      </c>
      <c r="X184" s="65" t="str">
        <f t="shared" si="41"/>
        <v/>
      </c>
      <c r="Y184" s="78" t="str">
        <f t="shared" si="42"/>
        <v/>
      </c>
      <c r="Z184" s="21"/>
      <c r="AA184" s="138"/>
      <c r="AB184" s="21"/>
    </row>
    <row r="185" spans="1:28" x14ac:dyDescent="0.25">
      <c r="A185" s="21"/>
      <c r="B185" s="18"/>
      <c r="C185" s="85" t="str">
        <f>IF(B185="","",INDEX(Elements!B:B,MATCH(Design!B185,Elements!A:A,0)))</f>
        <v/>
      </c>
      <c r="D185" s="13"/>
      <c r="E185" s="85" t="str">
        <f>IFERROR(IF(D185="","",INDEX(Elements!J:J,MATCH(Design!D185,Elements!I:I,0))),SUBSTITUTE(D185," ",""))</f>
        <v/>
      </c>
      <c r="F185" s="13"/>
      <c r="G185" s="84" t="str">
        <f>IFERROR(IF(F185="","",INDEX(Elements!L:L,MATCH(Design!F185,Elements!K:K,0))),F185)</f>
        <v/>
      </c>
      <c r="H185" s="12"/>
      <c r="I185" s="14"/>
      <c r="J185" s="63" t="str">
        <f t="shared" ca="1" si="43"/>
        <v>columnHeaders</v>
      </c>
      <c r="K185" s="63">
        <f t="shared" ca="1" si="34"/>
        <v>0</v>
      </c>
      <c r="L185" s="63" t="str">
        <f ca="1">IF(K185="fontFamily","fontFamily",IF(K185="fontSize","fontSize",IFERROR(INDEX(Elements!M:M,MATCH(Design!J185&amp;"|"&amp;Design!K185,Elements!N:N,0)),"")))</f>
        <v/>
      </c>
      <c r="M185" s="65" t="str">
        <f ca="1">IF(OR(L185="",L185="fill"),"",MATCH(IF(L185="enumeration",J185&amp;"|"&amp;G185,Design!L185),Elements!N:N,0))</f>
        <v/>
      </c>
      <c r="N185" s="65" t="str">
        <f t="shared" si="39"/>
        <v/>
      </c>
      <c r="O185" s="65" t="str">
        <f ca="1">"Elements!"&amp;INDEX(Elements!H:H,MATCH(Design!J185,Elements!J:J,0))</f>
        <v>Elements!K36:K44</v>
      </c>
      <c r="P185" s="65" t="str">
        <f t="shared" ca="1" si="45"/>
        <v>"</v>
      </c>
      <c r="Q185" s="75" t="str">
        <f t="shared" si="36"/>
        <v/>
      </c>
      <c r="R185" s="5" t="str">
        <f t="shared" si="37"/>
        <v/>
      </c>
      <c r="S185" s="5" t="str">
        <f t="shared" si="35"/>
        <v/>
      </c>
      <c r="T185" s="76" t="str">
        <f t="shared" si="38"/>
        <v/>
      </c>
      <c r="U185" s="5">
        <f t="shared" si="44"/>
        <v>0</v>
      </c>
      <c r="V185" s="5">
        <f t="shared" si="44"/>
        <v>0</v>
      </c>
      <c r="W185" s="77" t="str">
        <f t="shared" si="40"/>
        <v/>
      </c>
      <c r="X185" s="65" t="str">
        <f t="shared" si="41"/>
        <v/>
      </c>
      <c r="Y185" s="78" t="str">
        <f t="shared" si="42"/>
        <v/>
      </c>
      <c r="Z185" s="21"/>
      <c r="AA185" s="138"/>
      <c r="AB185" s="21"/>
    </row>
    <row r="186" spans="1:28" x14ac:dyDescent="0.25">
      <c r="A186" s="21"/>
      <c r="B186" s="18"/>
      <c r="C186" s="85" t="str">
        <f>IF(B186="","",INDEX(Elements!B:B,MATCH(Design!B186,Elements!A:A,0)))</f>
        <v/>
      </c>
      <c r="D186" s="13"/>
      <c r="E186" s="85" t="str">
        <f>IFERROR(IF(D186="","",INDEX(Elements!J:J,MATCH(Design!D186,Elements!I:I,0))),SUBSTITUTE(D186," ",""))</f>
        <v/>
      </c>
      <c r="F186" s="13"/>
      <c r="G186" s="84" t="str">
        <f>IFERROR(IF(F186="","",INDEX(Elements!L:L,MATCH(Design!F186,Elements!K:K,0))),F186)</f>
        <v/>
      </c>
      <c r="H186" s="12"/>
      <c r="I186" s="14"/>
      <c r="J186" s="63" t="str">
        <f t="shared" ca="1" si="43"/>
        <v>columnHeaders</v>
      </c>
      <c r="K186" s="63">
        <f t="shared" ref="K186:K249" ca="1" si="46">IFERROR(IF(G186="",INDIRECT("I"&amp;ROW()-1),G186),"")</f>
        <v>0</v>
      </c>
      <c r="L186" s="63" t="str">
        <f ca="1">IF(K186="fontFamily","fontFamily",IF(K186="fontSize","fontSize",IFERROR(INDEX(Elements!M:M,MATCH(Design!J186&amp;"|"&amp;Design!K186,Elements!N:N,0)),"")))</f>
        <v/>
      </c>
      <c r="M186" s="65" t="str">
        <f ca="1">IF(OR(L186="",L186="fill"),"",MATCH(IF(L186="enumeration",J186&amp;"|"&amp;G186,Design!L186),Elements!N:N,0))</f>
        <v/>
      </c>
      <c r="N186" s="65" t="str">
        <f t="shared" si="39"/>
        <v/>
      </c>
      <c r="O186" s="65" t="str">
        <f ca="1">"Elements!"&amp;INDEX(Elements!H:H,MATCH(Design!J186,Elements!J:J,0))</f>
        <v>Elements!K36:K44</v>
      </c>
      <c r="P186" s="65" t="str">
        <f t="shared" ca="1" si="45"/>
        <v>"</v>
      </c>
      <c r="Q186" s="75" t="str">
        <f t="shared" si="36"/>
        <v/>
      </c>
      <c r="R186" s="5" t="str">
        <f t="shared" si="37"/>
        <v/>
      </c>
      <c r="S186" s="5" t="str">
        <f t="shared" ref="S186:S249" si="47">IF(G186="","",IF(G185&lt;&gt;"",",","")&amp;"{"&amp;CHAR(34)&amp;G186&amp;CHAR(34)&amp;":"&amp;P186&amp;H186&amp;I186&amp;P186&amp;"}")</f>
        <v/>
      </c>
      <c r="T186" s="76" t="str">
        <f t="shared" si="38"/>
        <v/>
      </c>
      <c r="U186" s="5">
        <f t="shared" si="44"/>
        <v>0</v>
      </c>
      <c r="V186" s="5">
        <f t="shared" si="44"/>
        <v>0</v>
      </c>
      <c r="W186" s="77" t="str">
        <f t="shared" si="40"/>
        <v/>
      </c>
      <c r="X186" s="65" t="str">
        <f t="shared" si="41"/>
        <v/>
      </c>
      <c r="Y186" s="78" t="str">
        <f t="shared" si="42"/>
        <v/>
      </c>
      <c r="Z186" s="21"/>
      <c r="AA186" s="138"/>
      <c r="AB186" s="21"/>
    </row>
    <row r="187" spans="1:28" x14ac:dyDescent="0.25">
      <c r="A187" s="21"/>
      <c r="B187" s="18"/>
      <c r="C187" s="85" t="str">
        <f>IF(B187="","",INDEX(Elements!B:B,MATCH(Design!B187,Elements!A:A,0)))</f>
        <v/>
      </c>
      <c r="D187" s="13"/>
      <c r="E187" s="85" t="str">
        <f>IFERROR(IF(D187="","",INDEX(Elements!J:J,MATCH(Design!D187,Elements!I:I,0))),SUBSTITUTE(D187," ",""))</f>
        <v/>
      </c>
      <c r="F187" s="13"/>
      <c r="G187" s="84" t="str">
        <f>IFERROR(IF(F187="","",INDEX(Elements!L:L,MATCH(Design!F187,Elements!K:K,0))),F187)</f>
        <v/>
      </c>
      <c r="H187" s="12"/>
      <c r="I187" s="14"/>
      <c r="J187" s="63" t="str">
        <f t="shared" ca="1" si="43"/>
        <v>columnHeaders</v>
      </c>
      <c r="K187" s="63">
        <f t="shared" ca="1" si="46"/>
        <v>0</v>
      </c>
      <c r="L187" s="63" t="str">
        <f ca="1">IF(K187="fontFamily","fontFamily",IF(K187="fontSize","fontSize",IFERROR(INDEX(Elements!M:M,MATCH(Design!J187&amp;"|"&amp;Design!K187,Elements!N:N,0)),"")))</f>
        <v/>
      </c>
      <c r="M187" s="65" t="str">
        <f ca="1">IF(OR(L187="",L187="fill"),"",MATCH(IF(L187="enumeration",J187&amp;"|"&amp;G187,Design!L187),Elements!N:N,0))</f>
        <v/>
      </c>
      <c r="N187" s="65" t="str">
        <f t="shared" si="39"/>
        <v/>
      </c>
      <c r="O187" s="65" t="str">
        <f ca="1">"Elements!"&amp;INDEX(Elements!H:H,MATCH(Design!J187,Elements!J:J,0))</f>
        <v>Elements!K36:K44</v>
      </c>
      <c r="P187" s="65" t="str">
        <f t="shared" ca="1" si="45"/>
        <v>"</v>
      </c>
      <c r="Q187" s="75" t="str">
        <f t="shared" ref="Q187:Q250" si="48">IF(C187&lt;&gt;"","}},"&amp;CHAR(34)&amp;C187&amp;CHAR(34)&amp;":{"&amp;CHAR(34)&amp;"*"&amp;CHAR(34)&amp;":{","")</f>
        <v/>
      </c>
      <c r="R187" s="5" t="str">
        <f t="shared" ref="R187:R250" si="49">IF(AND(S186&lt;&gt;"",G187=""),"]","")&amp;IF(E187="","",IF(C186="",",","")&amp;CHAR(34)&amp;E187&amp;CHAR(34)&amp;":[")</f>
        <v/>
      </c>
      <c r="S187" s="5" t="str">
        <f t="shared" si="47"/>
        <v/>
      </c>
      <c r="T187" s="76" t="str">
        <f t="shared" si="38"/>
        <v/>
      </c>
      <c r="U187" s="5">
        <f t="shared" si="44"/>
        <v>0</v>
      </c>
      <c r="V187" s="5">
        <f t="shared" si="44"/>
        <v>0</v>
      </c>
      <c r="W187" s="77" t="str">
        <f t="shared" si="40"/>
        <v/>
      </c>
      <c r="X187" s="65" t="str">
        <f t="shared" si="41"/>
        <v/>
      </c>
      <c r="Y187" s="78" t="str">
        <f t="shared" si="42"/>
        <v/>
      </c>
      <c r="Z187" s="21"/>
      <c r="AA187" s="138"/>
      <c r="AB187" s="21"/>
    </row>
    <row r="188" spans="1:28" x14ac:dyDescent="0.25">
      <c r="A188" s="21"/>
      <c r="B188" s="18"/>
      <c r="C188" s="85" t="str">
        <f>IF(B188="","",INDEX(Elements!B:B,MATCH(Design!B188,Elements!A:A,0)))</f>
        <v/>
      </c>
      <c r="D188" s="13"/>
      <c r="E188" s="85" t="str">
        <f>IFERROR(IF(D188="","",INDEX(Elements!J:J,MATCH(Design!D188,Elements!I:I,0))),SUBSTITUTE(D188," ",""))</f>
        <v/>
      </c>
      <c r="F188" s="13"/>
      <c r="G188" s="84" t="str">
        <f>IFERROR(IF(F188="","",INDEX(Elements!L:L,MATCH(Design!F188,Elements!K:K,0))),F188)</f>
        <v/>
      </c>
      <c r="H188" s="12"/>
      <c r="I188" s="14"/>
      <c r="J188" s="63" t="str">
        <f t="shared" ca="1" si="43"/>
        <v>columnHeaders</v>
      </c>
      <c r="K188" s="63">
        <f t="shared" ca="1" si="46"/>
        <v>0</v>
      </c>
      <c r="L188" s="63" t="str">
        <f ca="1">IF(K188="fontFamily","fontFamily",IF(K188="fontSize","fontSize",IFERROR(INDEX(Elements!M:M,MATCH(Design!J188&amp;"|"&amp;Design!K188,Elements!N:N,0)),"")))</f>
        <v/>
      </c>
      <c r="M188" s="65" t="str">
        <f ca="1">IF(OR(L188="",L188="fill"),"",MATCH(IF(L188="enumeration",J188&amp;"|"&amp;G188,Design!L188),Elements!N:N,0))</f>
        <v/>
      </c>
      <c r="N188" s="65" t="str">
        <f t="shared" si="39"/>
        <v/>
      </c>
      <c r="O188" s="65" t="str">
        <f ca="1">"Elements!"&amp;INDEX(Elements!H:H,MATCH(Design!J188,Elements!J:J,0))</f>
        <v>Elements!K36:K44</v>
      </c>
      <c r="P188" s="65" t="str">
        <f t="shared" ca="1" si="45"/>
        <v>"</v>
      </c>
      <c r="Q188" s="75" t="str">
        <f t="shared" si="48"/>
        <v/>
      </c>
      <c r="R188" s="5" t="str">
        <f t="shared" si="49"/>
        <v/>
      </c>
      <c r="S188" s="5" t="str">
        <f t="shared" si="47"/>
        <v/>
      </c>
      <c r="T188" s="76" t="str">
        <f t="shared" si="38"/>
        <v/>
      </c>
      <c r="U188" s="5">
        <f t="shared" si="44"/>
        <v>0</v>
      </c>
      <c r="V188" s="5">
        <f t="shared" si="44"/>
        <v>0</v>
      </c>
      <c r="W188" s="77" t="str">
        <f t="shared" si="40"/>
        <v/>
      </c>
      <c r="X188" s="65" t="str">
        <f t="shared" si="41"/>
        <v/>
      </c>
      <c r="Y188" s="78" t="str">
        <f t="shared" si="42"/>
        <v/>
      </c>
      <c r="Z188" s="21"/>
      <c r="AA188" s="138"/>
      <c r="AB188" s="21"/>
    </row>
    <row r="189" spans="1:28" x14ac:dyDescent="0.25">
      <c r="A189" s="21"/>
      <c r="B189" s="18"/>
      <c r="C189" s="85" t="str">
        <f>IF(B189="","",INDEX(Elements!B:B,MATCH(Design!B189,Elements!A:A,0)))</f>
        <v/>
      </c>
      <c r="D189" s="13"/>
      <c r="E189" s="85" t="str">
        <f>IFERROR(IF(D189="","",INDEX(Elements!J:J,MATCH(Design!D189,Elements!I:I,0))),SUBSTITUTE(D189," ",""))</f>
        <v/>
      </c>
      <c r="F189" s="13"/>
      <c r="G189" s="84" t="str">
        <f>IFERROR(IF(F189="","",INDEX(Elements!L:L,MATCH(Design!F189,Elements!K:K,0))),F189)</f>
        <v/>
      </c>
      <c r="H189" s="12"/>
      <c r="I189" s="14"/>
      <c r="J189" s="63" t="str">
        <f t="shared" ca="1" si="43"/>
        <v>columnHeaders</v>
      </c>
      <c r="K189" s="63">
        <f t="shared" ca="1" si="46"/>
        <v>0</v>
      </c>
      <c r="L189" s="63" t="str">
        <f ca="1">IF(K189="fontFamily","fontFamily",IF(K189="fontSize","fontSize",IFERROR(INDEX(Elements!M:M,MATCH(Design!J189&amp;"|"&amp;Design!K189,Elements!N:N,0)),"")))</f>
        <v/>
      </c>
      <c r="M189" s="65" t="str">
        <f ca="1">IF(OR(L189="",L189="fill"),"",MATCH(IF(L189="enumeration",J189&amp;"|"&amp;G189,Design!L189),Elements!N:N,0))</f>
        <v/>
      </c>
      <c r="N189" s="65" t="str">
        <f t="shared" si="39"/>
        <v/>
      </c>
      <c r="O189" s="65" t="str">
        <f ca="1">"Elements!"&amp;INDEX(Elements!H:H,MATCH(Design!J189,Elements!J:J,0))</f>
        <v>Elements!K36:K44</v>
      </c>
      <c r="P189" s="65" t="str">
        <f t="shared" ca="1" si="45"/>
        <v>"</v>
      </c>
      <c r="Q189" s="75" t="str">
        <f t="shared" si="48"/>
        <v/>
      </c>
      <c r="R189" s="5" t="str">
        <f t="shared" si="49"/>
        <v/>
      </c>
      <c r="S189" s="5" t="str">
        <f t="shared" si="47"/>
        <v/>
      </c>
      <c r="T189" s="76" t="str">
        <f t="shared" si="38"/>
        <v/>
      </c>
      <c r="U189" s="5">
        <f t="shared" si="44"/>
        <v>0</v>
      </c>
      <c r="V189" s="5">
        <f t="shared" si="44"/>
        <v>0</v>
      </c>
      <c r="W189" s="77" t="str">
        <f t="shared" si="40"/>
        <v/>
      </c>
      <c r="X189" s="65" t="str">
        <f t="shared" si="41"/>
        <v/>
      </c>
      <c r="Y189" s="78" t="str">
        <f t="shared" si="42"/>
        <v/>
      </c>
      <c r="Z189" s="21"/>
      <c r="AA189" s="138"/>
      <c r="AB189" s="21"/>
    </row>
    <row r="190" spans="1:28" x14ac:dyDescent="0.25">
      <c r="A190" s="21"/>
      <c r="B190" s="18"/>
      <c r="C190" s="85" t="str">
        <f>IF(B190="","",INDEX(Elements!B:B,MATCH(Design!B190,Elements!A:A,0)))</f>
        <v/>
      </c>
      <c r="D190" s="13"/>
      <c r="E190" s="85" t="str">
        <f>IFERROR(IF(D190="","",INDEX(Elements!J:J,MATCH(Design!D190,Elements!I:I,0))),SUBSTITUTE(D190," ",""))</f>
        <v/>
      </c>
      <c r="F190" s="13"/>
      <c r="G190" s="84" t="str">
        <f>IFERROR(IF(F190="","",INDEX(Elements!L:L,MATCH(Design!F190,Elements!K:K,0))),F190)</f>
        <v/>
      </c>
      <c r="H190" s="12"/>
      <c r="I190" s="14"/>
      <c r="J190" s="63" t="str">
        <f t="shared" ca="1" si="43"/>
        <v>columnHeaders</v>
      </c>
      <c r="K190" s="63">
        <f t="shared" ca="1" si="46"/>
        <v>0</v>
      </c>
      <c r="L190" s="63" t="str">
        <f ca="1">IF(K190="fontFamily","fontFamily",IF(K190="fontSize","fontSize",IFERROR(INDEX(Elements!M:M,MATCH(Design!J190&amp;"|"&amp;Design!K190,Elements!N:N,0)),"")))</f>
        <v/>
      </c>
      <c r="M190" s="65" t="str">
        <f ca="1">IF(OR(L190="",L190="fill"),"",MATCH(IF(L190="enumeration",J190&amp;"|"&amp;G190,Design!L190),Elements!N:N,0))</f>
        <v/>
      </c>
      <c r="N190" s="65" t="str">
        <f t="shared" si="39"/>
        <v/>
      </c>
      <c r="O190" s="65" t="str">
        <f ca="1">"Elements!"&amp;INDEX(Elements!H:H,MATCH(Design!J190,Elements!J:J,0))</f>
        <v>Elements!K36:K44</v>
      </c>
      <c r="P190" s="65" t="str">
        <f t="shared" ca="1" si="45"/>
        <v>"</v>
      </c>
      <c r="Q190" s="75" t="str">
        <f t="shared" si="48"/>
        <v/>
      </c>
      <c r="R190" s="5" t="str">
        <f t="shared" si="49"/>
        <v/>
      </c>
      <c r="S190" s="5" t="str">
        <f t="shared" si="47"/>
        <v/>
      </c>
      <c r="T190" s="76" t="str">
        <f t="shared" si="38"/>
        <v/>
      </c>
      <c r="U190" s="5">
        <f t="shared" si="44"/>
        <v>0</v>
      </c>
      <c r="V190" s="5">
        <f t="shared" si="44"/>
        <v>0</v>
      </c>
      <c r="W190" s="77" t="str">
        <f t="shared" si="40"/>
        <v/>
      </c>
      <c r="X190" s="65" t="str">
        <f t="shared" si="41"/>
        <v/>
      </c>
      <c r="Y190" s="78" t="str">
        <f t="shared" si="42"/>
        <v/>
      </c>
      <c r="Z190" s="21"/>
      <c r="AA190" s="138"/>
      <c r="AB190" s="21"/>
    </row>
    <row r="191" spans="1:28" x14ac:dyDescent="0.25">
      <c r="A191" s="21"/>
      <c r="B191" s="18"/>
      <c r="C191" s="85" t="str">
        <f>IF(B191="","",INDEX(Elements!B:B,MATCH(Design!B191,Elements!A:A,0)))</f>
        <v/>
      </c>
      <c r="D191" s="13"/>
      <c r="E191" s="85" t="str">
        <f>IFERROR(IF(D191="","",INDEX(Elements!J:J,MATCH(Design!D191,Elements!I:I,0))),SUBSTITUTE(D191," ",""))</f>
        <v/>
      </c>
      <c r="F191" s="13"/>
      <c r="G191" s="84" t="str">
        <f>IFERROR(IF(F191="","",INDEX(Elements!L:L,MATCH(Design!F191,Elements!K:K,0))),F191)</f>
        <v/>
      </c>
      <c r="H191" s="12"/>
      <c r="I191" s="14"/>
      <c r="J191" s="63" t="str">
        <f t="shared" ca="1" si="43"/>
        <v>columnHeaders</v>
      </c>
      <c r="K191" s="63">
        <f t="shared" ca="1" si="46"/>
        <v>0</v>
      </c>
      <c r="L191" s="63" t="str">
        <f ca="1">IF(K191="fontFamily","fontFamily",IF(K191="fontSize","fontSize",IFERROR(INDEX(Elements!M:M,MATCH(Design!J191&amp;"|"&amp;Design!K191,Elements!N:N,0)),"")))</f>
        <v/>
      </c>
      <c r="M191" s="65" t="str">
        <f ca="1">IF(OR(L191="",L191="fill"),"",MATCH(IF(L191="enumeration",J191&amp;"|"&amp;G191,Design!L191),Elements!N:N,0))</f>
        <v/>
      </c>
      <c r="N191" s="65" t="str">
        <f t="shared" si="39"/>
        <v/>
      </c>
      <c r="O191" s="65" t="str">
        <f ca="1">"Elements!"&amp;INDEX(Elements!H:H,MATCH(Design!J191,Elements!J:J,0))</f>
        <v>Elements!K36:K44</v>
      </c>
      <c r="P191" s="65" t="str">
        <f t="shared" ca="1" si="45"/>
        <v>"</v>
      </c>
      <c r="Q191" s="75" t="str">
        <f t="shared" si="48"/>
        <v/>
      </c>
      <c r="R191" s="5" t="str">
        <f t="shared" si="49"/>
        <v/>
      </c>
      <c r="S191" s="5" t="str">
        <f t="shared" si="47"/>
        <v/>
      </c>
      <c r="T191" s="76" t="str">
        <f t="shared" ref="T191:T254" si="50">R191&amp;S191&amp;Q191</f>
        <v/>
      </c>
      <c r="U191" s="5">
        <f t="shared" si="44"/>
        <v>0</v>
      </c>
      <c r="V191" s="5">
        <f t="shared" si="44"/>
        <v>0</v>
      </c>
      <c r="W191" s="77" t="str">
        <f t="shared" si="40"/>
        <v/>
      </c>
      <c r="X191" s="65" t="str">
        <f t="shared" si="41"/>
        <v/>
      </c>
      <c r="Y191" s="78" t="str">
        <f t="shared" si="42"/>
        <v/>
      </c>
      <c r="Z191" s="21"/>
      <c r="AA191" s="138"/>
      <c r="AB191" s="21"/>
    </row>
    <row r="192" spans="1:28" x14ac:dyDescent="0.25">
      <c r="A192" s="21"/>
      <c r="B192" s="18"/>
      <c r="C192" s="85" t="str">
        <f>IF(B192="","",INDEX(Elements!B:B,MATCH(Design!B192,Elements!A:A,0)))</f>
        <v/>
      </c>
      <c r="D192" s="13"/>
      <c r="E192" s="85" t="str">
        <f>IFERROR(IF(D192="","",INDEX(Elements!J:J,MATCH(Design!D192,Elements!I:I,0))),SUBSTITUTE(D192," ",""))</f>
        <v/>
      </c>
      <c r="F192" s="13"/>
      <c r="G192" s="84" t="str">
        <f>IFERROR(IF(F192="","",INDEX(Elements!L:L,MATCH(Design!F192,Elements!K:K,0))),F192)</f>
        <v/>
      </c>
      <c r="H192" s="12"/>
      <c r="I192" s="14"/>
      <c r="J192" s="63" t="str">
        <f t="shared" ca="1" si="43"/>
        <v>columnHeaders</v>
      </c>
      <c r="K192" s="63">
        <f t="shared" ca="1" si="46"/>
        <v>0</v>
      </c>
      <c r="L192" s="63" t="str">
        <f ca="1">IF(K192="fontFamily","fontFamily",IF(K192="fontSize","fontSize",IFERROR(INDEX(Elements!M:M,MATCH(Design!J192&amp;"|"&amp;Design!K192,Elements!N:N,0)),"")))</f>
        <v/>
      </c>
      <c r="M192" s="65" t="str">
        <f ca="1">IF(OR(L192="",L192="fill"),"",MATCH(IF(L192="enumeration",J192&amp;"|"&amp;G192,Design!L192),Elements!N:N,0))</f>
        <v/>
      </c>
      <c r="N192" s="65" t="str">
        <f t="shared" si="39"/>
        <v/>
      </c>
      <c r="O192" s="65" t="str">
        <f ca="1">"Elements!"&amp;INDEX(Elements!H:H,MATCH(Design!J192,Elements!J:J,0))</f>
        <v>Elements!K36:K44</v>
      </c>
      <c r="P192" s="65" t="str">
        <f t="shared" ca="1" si="45"/>
        <v>"</v>
      </c>
      <c r="Q192" s="75" t="str">
        <f t="shared" si="48"/>
        <v/>
      </c>
      <c r="R192" s="5" t="str">
        <f t="shared" si="49"/>
        <v/>
      </c>
      <c r="S192" s="5" t="str">
        <f t="shared" si="47"/>
        <v/>
      </c>
      <c r="T192" s="76" t="str">
        <f t="shared" si="50"/>
        <v/>
      </c>
      <c r="U192" s="5">
        <f t="shared" si="44"/>
        <v>0</v>
      </c>
      <c r="V192" s="5">
        <f t="shared" si="44"/>
        <v>0</v>
      </c>
      <c r="W192" s="77" t="str">
        <f t="shared" si="40"/>
        <v/>
      </c>
      <c r="X192" s="65" t="str">
        <f t="shared" si="41"/>
        <v/>
      </c>
      <c r="Y192" s="78" t="str">
        <f t="shared" si="42"/>
        <v/>
      </c>
      <c r="Z192" s="21"/>
      <c r="AA192" s="138"/>
      <c r="AB192" s="21"/>
    </row>
    <row r="193" spans="1:28" x14ac:dyDescent="0.25">
      <c r="A193" s="21"/>
      <c r="B193" s="18"/>
      <c r="C193" s="85" t="str">
        <f>IF(B193="","",INDEX(Elements!B:B,MATCH(Design!B193,Elements!A:A,0)))</f>
        <v/>
      </c>
      <c r="D193" s="13"/>
      <c r="E193" s="85" t="str">
        <f>IFERROR(IF(D193="","",INDEX(Elements!J:J,MATCH(Design!D193,Elements!I:I,0))),SUBSTITUTE(D193," ",""))</f>
        <v/>
      </c>
      <c r="F193" s="13"/>
      <c r="G193" s="84" t="str">
        <f>IFERROR(IF(F193="","",INDEX(Elements!L:L,MATCH(Design!F193,Elements!K:K,0))),F193)</f>
        <v/>
      </c>
      <c r="H193" s="12"/>
      <c r="I193" s="14"/>
      <c r="J193" s="63" t="str">
        <f t="shared" ca="1" si="43"/>
        <v>columnHeaders</v>
      </c>
      <c r="K193" s="63">
        <f t="shared" ca="1" si="46"/>
        <v>0</v>
      </c>
      <c r="L193" s="63" t="str">
        <f ca="1">IF(K193="fontFamily","fontFamily",IF(K193="fontSize","fontSize",IFERROR(INDEX(Elements!M:M,MATCH(Design!J193&amp;"|"&amp;Design!K193,Elements!N:N,0)),"")))</f>
        <v/>
      </c>
      <c r="M193" s="65" t="str">
        <f ca="1">IF(OR(L193="",L193="fill"),"",MATCH(IF(L193="enumeration",J193&amp;"|"&amp;G193,Design!L193),Elements!N:N,0))</f>
        <v/>
      </c>
      <c r="N193" s="65" t="str">
        <f t="shared" si="39"/>
        <v/>
      </c>
      <c r="O193" s="65" t="str">
        <f ca="1">"Elements!"&amp;INDEX(Elements!H:H,MATCH(Design!J193,Elements!J:J,0))</f>
        <v>Elements!K36:K44</v>
      </c>
      <c r="P193" s="65" t="str">
        <f t="shared" ca="1" si="45"/>
        <v>"</v>
      </c>
      <c r="Q193" s="75" t="str">
        <f t="shared" si="48"/>
        <v/>
      </c>
      <c r="R193" s="5" t="str">
        <f t="shared" si="49"/>
        <v/>
      </c>
      <c r="S193" s="5" t="str">
        <f t="shared" si="47"/>
        <v/>
      </c>
      <c r="T193" s="76" t="str">
        <f t="shared" si="50"/>
        <v/>
      </c>
      <c r="U193" s="5">
        <f t="shared" si="44"/>
        <v>0</v>
      </c>
      <c r="V193" s="5">
        <f t="shared" si="44"/>
        <v>0</v>
      </c>
      <c r="W193" s="77" t="str">
        <f t="shared" si="40"/>
        <v/>
      </c>
      <c r="X193" s="65" t="str">
        <f t="shared" si="41"/>
        <v/>
      </c>
      <c r="Y193" s="78" t="str">
        <f t="shared" si="42"/>
        <v/>
      </c>
      <c r="Z193" s="21"/>
      <c r="AA193" s="138"/>
      <c r="AB193" s="21"/>
    </row>
    <row r="194" spans="1:28" x14ac:dyDescent="0.25">
      <c r="A194" s="21"/>
      <c r="B194" s="18"/>
      <c r="C194" s="85" t="str">
        <f>IF(B194="","",INDEX(Elements!B:B,MATCH(Design!B194,Elements!A:A,0)))</f>
        <v/>
      </c>
      <c r="D194" s="13"/>
      <c r="E194" s="85" t="str">
        <f>IFERROR(IF(D194="","",INDEX(Elements!J:J,MATCH(Design!D194,Elements!I:I,0))),SUBSTITUTE(D194," ",""))</f>
        <v/>
      </c>
      <c r="F194" s="13"/>
      <c r="G194" s="84" t="str">
        <f>IFERROR(IF(F194="","",INDEX(Elements!L:L,MATCH(Design!F194,Elements!K:K,0))),F194)</f>
        <v/>
      </c>
      <c r="H194" s="12"/>
      <c r="I194" s="14"/>
      <c r="J194" s="63" t="str">
        <f t="shared" ca="1" si="43"/>
        <v>columnHeaders</v>
      </c>
      <c r="K194" s="63">
        <f t="shared" ca="1" si="46"/>
        <v>0</v>
      </c>
      <c r="L194" s="63" t="str">
        <f ca="1">IF(K194="fontFamily","fontFamily",IF(K194="fontSize","fontSize",IFERROR(INDEX(Elements!M:M,MATCH(Design!J194&amp;"|"&amp;Design!K194,Elements!N:N,0)),"")))</f>
        <v/>
      </c>
      <c r="M194" s="65" t="str">
        <f ca="1">IF(OR(L194="",L194="fill"),"",MATCH(IF(L194="enumeration",J194&amp;"|"&amp;G194,Design!L194),Elements!N:N,0))</f>
        <v/>
      </c>
      <c r="N194" s="65" t="str">
        <f t="shared" si="39"/>
        <v/>
      </c>
      <c r="O194" s="65" t="str">
        <f ca="1">"Elements!"&amp;INDEX(Elements!H:H,MATCH(Design!J194,Elements!J:J,0))</f>
        <v>Elements!K36:K44</v>
      </c>
      <c r="P194" s="65" t="str">
        <f t="shared" ca="1" si="45"/>
        <v>"</v>
      </c>
      <c r="Q194" s="75" t="str">
        <f t="shared" si="48"/>
        <v/>
      </c>
      <c r="R194" s="5" t="str">
        <f t="shared" si="49"/>
        <v/>
      </c>
      <c r="S194" s="5" t="str">
        <f t="shared" si="47"/>
        <v/>
      </c>
      <c r="T194" s="76" t="str">
        <f t="shared" si="50"/>
        <v/>
      </c>
      <c r="U194" s="5">
        <f t="shared" si="44"/>
        <v>0</v>
      </c>
      <c r="V194" s="5">
        <f t="shared" si="44"/>
        <v>0</v>
      </c>
      <c r="W194" s="77" t="str">
        <f t="shared" si="40"/>
        <v/>
      </c>
      <c r="X194" s="65" t="str">
        <f t="shared" si="41"/>
        <v/>
      </c>
      <c r="Y194" s="78" t="str">
        <f t="shared" si="42"/>
        <v/>
      </c>
      <c r="Z194" s="21"/>
      <c r="AA194" s="138"/>
      <c r="AB194" s="21"/>
    </row>
    <row r="195" spans="1:28" x14ac:dyDescent="0.25">
      <c r="A195" s="21"/>
      <c r="B195" s="18"/>
      <c r="C195" s="85" t="str">
        <f>IF(B195="","",INDEX(Elements!B:B,MATCH(Design!B195,Elements!A:A,0)))</f>
        <v/>
      </c>
      <c r="D195" s="13"/>
      <c r="E195" s="85" t="str">
        <f>IFERROR(IF(D195="","",INDEX(Elements!J:J,MATCH(Design!D195,Elements!I:I,0))),SUBSTITUTE(D195," ",""))</f>
        <v/>
      </c>
      <c r="F195" s="13"/>
      <c r="G195" s="84" t="str">
        <f>IFERROR(IF(F195="","",INDEX(Elements!L:L,MATCH(Design!F195,Elements!K:K,0))),F195)</f>
        <v/>
      </c>
      <c r="H195" s="12"/>
      <c r="I195" s="14"/>
      <c r="J195" s="63" t="str">
        <f t="shared" ca="1" si="43"/>
        <v>columnHeaders</v>
      </c>
      <c r="K195" s="63">
        <f t="shared" ca="1" si="46"/>
        <v>0</v>
      </c>
      <c r="L195" s="63" t="str">
        <f ca="1">IF(K195="fontFamily","fontFamily",IF(K195="fontSize","fontSize",IFERROR(INDEX(Elements!M:M,MATCH(Design!J195&amp;"|"&amp;Design!K195,Elements!N:N,0)),"")))</f>
        <v/>
      </c>
      <c r="M195" s="65" t="str">
        <f ca="1">IF(OR(L195="",L195="fill"),"",MATCH(IF(L195="enumeration",J195&amp;"|"&amp;G195,Design!L195),Elements!N:N,0))</f>
        <v/>
      </c>
      <c r="N195" s="65" t="str">
        <f t="shared" si="39"/>
        <v/>
      </c>
      <c r="O195" s="65" t="str">
        <f ca="1">"Elements!"&amp;INDEX(Elements!H:H,MATCH(Design!J195,Elements!J:J,0))</f>
        <v>Elements!K36:K44</v>
      </c>
      <c r="P195" s="65" t="str">
        <f t="shared" ca="1" si="45"/>
        <v>"</v>
      </c>
      <c r="Q195" s="75" t="str">
        <f t="shared" si="48"/>
        <v/>
      </c>
      <c r="R195" s="5" t="str">
        <f t="shared" si="49"/>
        <v/>
      </c>
      <c r="S195" s="5" t="str">
        <f t="shared" si="47"/>
        <v/>
      </c>
      <c r="T195" s="76" t="str">
        <f t="shared" si="50"/>
        <v/>
      </c>
      <c r="U195" s="5">
        <f t="shared" si="44"/>
        <v>0</v>
      </c>
      <c r="V195" s="5">
        <f t="shared" si="44"/>
        <v>0</v>
      </c>
      <c r="W195" s="77" t="str">
        <f t="shared" si="40"/>
        <v/>
      </c>
      <c r="X195" s="65" t="str">
        <f t="shared" si="41"/>
        <v/>
      </c>
      <c r="Y195" s="78" t="str">
        <f t="shared" si="42"/>
        <v/>
      </c>
      <c r="Z195" s="21"/>
      <c r="AA195" s="138"/>
      <c r="AB195" s="21"/>
    </row>
    <row r="196" spans="1:28" x14ac:dyDescent="0.25">
      <c r="A196" s="21"/>
      <c r="B196" s="18"/>
      <c r="C196" s="85" t="str">
        <f>IF(B196="","",INDEX(Elements!B:B,MATCH(Design!B196,Elements!A:A,0)))</f>
        <v/>
      </c>
      <c r="D196" s="13"/>
      <c r="E196" s="85" t="str">
        <f>IFERROR(IF(D196="","",INDEX(Elements!J:J,MATCH(Design!D196,Elements!I:I,0))),SUBSTITUTE(D196," ",""))</f>
        <v/>
      </c>
      <c r="F196" s="13"/>
      <c r="G196" s="84" t="str">
        <f>IFERROR(IF(F196="","",INDEX(Elements!L:L,MATCH(Design!F196,Elements!K:K,0))),F196)</f>
        <v/>
      </c>
      <c r="H196" s="12"/>
      <c r="I196" s="14"/>
      <c r="J196" s="63" t="str">
        <f t="shared" ca="1" si="43"/>
        <v>columnHeaders</v>
      </c>
      <c r="K196" s="63">
        <f t="shared" ca="1" si="46"/>
        <v>0</v>
      </c>
      <c r="L196" s="63" t="str">
        <f ca="1">IF(K196="fontFamily","fontFamily",IF(K196="fontSize","fontSize",IFERROR(INDEX(Elements!M:M,MATCH(Design!J196&amp;"|"&amp;Design!K196,Elements!N:N,0)),"")))</f>
        <v/>
      </c>
      <c r="M196" s="65" t="str">
        <f ca="1">IF(OR(L196="",L196="fill"),"",MATCH(IF(L196="enumeration",J196&amp;"|"&amp;G196,Design!L196),Elements!N:N,0))</f>
        <v/>
      </c>
      <c r="N196" s="65" t="str">
        <f t="shared" si="39"/>
        <v/>
      </c>
      <c r="O196" s="65" t="str">
        <f ca="1">"Elements!"&amp;INDEX(Elements!H:H,MATCH(Design!J196,Elements!J:J,0))</f>
        <v>Elements!K36:K44</v>
      </c>
      <c r="P196" s="65" t="str">
        <f t="shared" ca="1" si="45"/>
        <v>"</v>
      </c>
      <c r="Q196" s="75" t="str">
        <f t="shared" si="48"/>
        <v/>
      </c>
      <c r="R196" s="5" t="str">
        <f t="shared" si="49"/>
        <v/>
      </c>
      <c r="S196" s="5" t="str">
        <f t="shared" si="47"/>
        <v/>
      </c>
      <c r="T196" s="76" t="str">
        <f t="shared" si="50"/>
        <v/>
      </c>
      <c r="U196" s="5">
        <f t="shared" si="44"/>
        <v>0</v>
      </c>
      <c r="V196" s="5">
        <f t="shared" si="44"/>
        <v>0</v>
      </c>
      <c r="W196" s="77" t="str">
        <f t="shared" si="40"/>
        <v/>
      </c>
      <c r="X196" s="65" t="str">
        <f t="shared" si="41"/>
        <v/>
      </c>
      <c r="Y196" s="78" t="str">
        <f t="shared" si="42"/>
        <v/>
      </c>
      <c r="Z196" s="21"/>
      <c r="AA196" s="138"/>
      <c r="AB196" s="21"/>
    </row>
    <row r="197" spans="1:28" x14ac:dyDescent="0.25">
      <c r="A197" s="21"/>
      <c r="B197" s="18"/>
      <c r="C197" s="85" t="str">
        <f>IF(B197="","",INDEX(Elements!B:B,MATCH(Design!B197,Elements!A:A,0)))</f>
        <v/>
      </c>
      <c r="D197" s="13"/>
      <c r="E197" s="85" t="str">
        <f>IFERROR(IF(D197="","",INDEX(Elements!J:J,MATCH(Design!D197,Elements!I:I,0))),SUBSTITUTE(D197," ",""))</f>
        <v/>
      </c>
      <c r="F197" s="13"/>
      <c r="G197" s="84" t="str">
        <f>IFERROR(IF(F197="","",INDEX(Elements!L:L,MATCH(Design!F197,Elements!K:K,0))),F197)</f>
        <v/>
      </c>
      <c r="H197" s="12"/>
      <c r="I197" s="14"/>
      <c r="J197" s="63" t="str">
        <f t="shared" ca="1" si="43"/>
        <v>columnHeaders</v>
      </c>
      <c r="K197" s="63">
        <f t="shared" ca="1" si="46"/>
        <v>0</v>
      </c>
      <c r="L197" s="63" t="str">
        <f ca="1">IF(K197="fontFamily","fontFamily",IF(K197="fontSize","fontSize",IFERROR(INDEX(Elements!M:M,MATCH(Design!J197&amp;"|"&amp;Design!K197,Elements!N:N,0)),"")))</f>
        <v/>
      </c>
      <c r="M197" s="65" t="str">
        <f ca="1">IF(OR(L197="",L197="fill"),"",MATCH(IF(L197="enumeration",J197&amp;"|"&amp;G197,Design!L197),Elements!N:N,0))</f>
        <v/>
      </c>
      <c r="N197" s="65" t="str">
        <f t="shared" si="39"/>
        <v/>
      </c>
      <c r="O197" s="65" t="str">
        <f ca="1">"Elements!"&amp;INDEX(Elements!H:H,MATCH(Design!J197,Elements!J:J,0))</f>
        <v>Elements!K36:K44</v>
      </c>
      <c r="P197" s="65" t="str">
        <f t="shared" ca="1" si="45"/>
        <v>"</v>
      </c>
      <c r="Q197" s="75" t="str">
        <f t="shared" si="48"/>
        <v/>
      </c>
      <c r="R197" s="5" t="str">
        <f t="shared" si="49"/>
        <v/>
      </c>
      <c r="S197" s="5" t="str">
        <f t="shared" si="47"/>
        <v/>
      </c>
      <c r="T197" s="76" t="str">
        <f t="shared" si="50"/>
        <v/>
      </c>
      <c r="U197" s="5">
        <f t="shared" si="44"/>
        <v>0</v>
      </c>
      <c r="V197" s="5">
        <f t="shared" si="44"/>
        <v>0</v>
      </c>
      <c r="W197" s="77" t="str">
        <f t="shared" si="40"/>
        <v/>
      </c>
      <c r="X197" s="65" t="str">
        <f t="shared" si="41"/>
        <v/>
      </c>
      <c r="Y197" s="78" t="str">
        <f t="shared" si="42"/>
        <v/>
      </c>
      <c r="Z197" s="21"/>
      <c r="AA197" s="138"/>
      <c r="AB197" s="21"/>
    </row>
    <row r="198" spans="1:28" x14ac:dyDescent="0.25">
      <c r="A198" s="21"/>
      <c r="B198" s="18"/>
      <c r="C198" s="85" t="str">
        <f>IF(B198="","",INDEX(Elements!B:B,MATCH(Design!B198,Elements!A:A,0)))</f>
        <v/>
      </c>
      <c r="D198" s="13"/>
      <c r="E198" s="85" t="str">
        <f>IFERROR(IF(D198="","",INDEX(Elements!J:J,MATCH(Design!D198,Elements!I:I,0))),SUBSTITUTE(D198," ",""))</f>
        <v/>
      </c>
      <c r="F198" s="13"/>
      <c r="G198" s="84" t="str">
        <f>IFERROR(IF(F198="","",INDEX(Elements!L:L,MATCH(Design!F198,Elements!K:K,0))),F198)</f>
        <v/>
      </c>
      <c r="H198" s="12"/>
      <c r="I198" s="14"/>
      <c r="J198" s="63" t="str">
        <f t="shared" ca="1" si="43"/>
        <v>columnHeaders</v>
      </c>
      <c r="K198" s="63">
        <f t="shared" ca="1" si="46"/>
        <v>0</v>
      </c>
      <c r="L198" s="63" t="str">
        <f ca="1">IF(K198="fontFamily","fontFamily",IF(K198="fontSize","fontSize",IFERROR(INDEX(Elements!M:M,MATCH(Design!J198&amp;"|"&amp;Design!K198,Elements!N:N,0)),"")))</f>
        <v/>
      </c>
      <c r="M198" s="65" t="str">
        <f ca="1">IF(OR(L198="",L198="fill"),"",MATCH(IF(L198="enumeration",J198&amp;"|"&amp;G198,Design!L198),Elements!N:N,0))</f>
        <v/>
      </c>
      <c r="N198" s="65" t="str">
        <f t="shared" si="39"/>
        <v/>
      </c>
      <c r="O198" s="65" t="str">
        <f ca="1">"Elements!"&amp;INDEX(Elements!H:H,MATCH(Design!J198,Elements!J:J,0))</f>
        <v>Elements!K36:K44</v>
      </c>
      <c r="P198" s="65" t="str">
        <f t="shared" ca="1" si="45"/>
        <v>"</v>
      </c>
      <c r="Q198" s="75" t="str">
        <f t="shared" si="48"/>
        <v/>
      </c>
      <c r="R198" s="5" t="str">
        <f t="shared" si="49"/>
        <v/>
      </c>
      <c r="S198" s="5" t="str">
        <f t="shared" si="47"/>
        <v/>
      </c>
      <c r="T198" s="76" t="str">
        <f t="shared" si="50"/>
        <v/>
      </c>
      <c r="U198" s="5">
        <f t="shared" si="44"/>
        <v>0</v>
      </c>
      <c r="V198" s="5">
        <f t="shared" si="44"/>
        <v>0</v>
      </c>
      <c r="W198" s="77" t="str">
        <f t="shared" si="40"/>
        <v/>
      </c>
      <c r="X198" s="65" t="str">
        <f t="shared" si="41"/>
        <v/>
      </c>
      <c r="Y198" s="78" t="str">
        <f t="shared" si="42"/>
        <v/>
      </c>
      <c r="Z198" s="21"/>
      <c r="AA198" s="138"/>
      <c r="AB198" s="21"/>
    </row>
    <row r="199" spans="1:28" x14ac:dyDescent="0.25">
      <c r="A199" s="21"/>
      <c r="B199" s="18"/>
      <c r="C199" s="85" t="str">
        <f>IF(B199="","",INDEX(Elements!B:B,MATCH(Design!B199,Elements!A:A,0)))</f>
        <v/>
      </c>
      <c r="D199" s="13"/>
      <c r="E199" s="85" t="str">
        <f>IFERROR(IF(D199="","",INDEX(Elements!J:J,MATCH(Design!D199,Elements!I:I,0))),SUBSTITUTE(D199," ",""))</f>
        <v/>
      </c>
      <c r="F199" s="13"/>
      <c r="G199" s="84" t="str">
        <f>IFERROR(IF(F199="","",INDEX(Elements!L:L,MATCH(Design!F199,Elements!K:K,0))),F199)</f>
        <v/>
      </c>
      <c r="H199" s="12"/>
      <c r="I199" s="14"/>
      <c r="J199" s="63" t="str">
        <f t="shared" ca="1" si="43"/>
        <v>columnHeaders</v>
      </c>
      <c r="K199" s="63">
        <f t="shared" ca="1" si="46"/>
        <v>0</v>
      </c>
      <c r="L199" s="63" t="str">
        <f ca="1">IF(K199="fontFamily","fontFamily",IF(K199="fontSize","fontSize",IFERROR(INDEX(Elements!M:M,MATCH(Design!J199&amp;"|"&amp;Design!K199,Elements!N:N,0)),"")))</f>
        <v/>
      </c>
      <c r="M199" s="65" t="str">
        <f ca="1">IF(OR(L199="",L199="fill"),"",MATCH(IF(L199="enumeration",J199&amp;"|"&amp;G199,Design!L199),Elements!N:N,0))</f>
        <v/>
      </c>
      <c r="N199" s="65" t="str">
        <f t="shared" si="39"/>
        <v/>
      </c>
      <c r="O199" s="65" t="str">
        <f ca="1">"Elements!"&amp;INDEX(Elements!H:H,MATCH(Design!J199,Elements!J:J,0))</f>
        <v>Elements!K36:K44</v>
      </c>
      <c r="P199" s="65" t="str">
        <f t="shared" ca="1" si="45"/>
        <v>"</v>
      </c>
      <c r="Q199" s="75" t="str">
        <f t="shared" si="48"/>
        <v/>
      </c>
      <c r="R199" s="5" t="str">
        <f t="shared" si="49"/>
        <v/>
      </c>
      <c r="S199" s="5" t="str">
        <f t="shared" si="47"/>
        <v/>
      </c>
      <c r="T199" s="76" t="str">
        <f t="shared" si="50"/>
        <v/>
      </c>
      <c r="U199" s="5">
        <f t="shared" si="44"/>
        <v>0</v>
      </c>
      <c r="V199" s="5">
        <f t="shared" si="44"/>
        <v>0</v>
      </c>
      <c r="W199" s="77" t="str">
        <f t="shared" si="40"/>
        <v/>
      </c>
      <c r="X199" s="65" t="str">
        <f t="shared" si="41"/>
        <v/>
      </c>
      <c r="Y199" s="78" t="str">
        <f t="shared" si="42"/>
        <v/>
      </c>
      <c r="Z199" s="21"/>
      <c r="AA199" s="138"/>
      <c r="AB199" s="21"/>
    </row>
    <row r="200" spans="1:28" x14ac:dyDescent="0.25">
      <c r="A200" s="21"/>
      <c r="B200" s="18"/>
      <c r="C200" s="85" t="str">
        <f>IF(B200="","",INDEX(Elements!B:B,MATCH(Design!B200,Elements!A:A,0)))</f>
        <v/>
      </c>
      <c r="D200" s="13"/>
      <c r="E200" s="85" t="str">
        <f>IFERROR(IF(D200="","",INDEX(Elements!J:J,MATCH(Design!D200,Elements!I:I,0))),SUBSTITUTE(D200," ",""))</f>
        <v/>
      </c>
      <c r="F200" s="13"/>
      <c r="G200" s="84" t="str">
        <f>IFERROR(IF(F200="","",INDEX(Elements!L:L,MATCH(Design!F200,Elements!K:K,0))),F200)</f>
        <v/>
      </c>
      <c r="H200" s="12"/>
      <c r="I200" s="14"/>
      <c r="J200" s="63" t="str">
        <f t="shared" ca="1" si="43"/>
        <v>columnHeaders</v>
      </c>
      <c r="K200" s="63">
        <f t="shared" ca="1" si="46"/>
        <v>0</v>
      </c>
      <c r="L200" s="63" t="str">
        <f ca="1">IF(K200="fontFamily","fontFamily",IF(K200="fontSize","fontSize",IFERROR(INDEX(Elements!M:M,MATCH(Design!J200&amp;"|"&amp;Design!K200,Elements!N:N,0)),"")))</f>
        <v/>
      </c>
      <c r="M200" s="65" t="str">
        <f ca="1">IF(OR(L200="",L200="fill"),"",MATCH(IF(L200="enumeration",J200&amp;"|"&amp;G200,Design!L200),Elements!N:N,0))</f>
        <v/>
      </c>
      <c r="N200" s="65" t="str">
        <f t="shared" si="39"/>
        <v/>
      </c>
      <c r="O200" s="65" t="str">
        <f ca="1">"Elements!"&amp;INDEX(Elements!H:H,MATCH(Design!J200,Elements!J:J,0))</f>
        <v>Elements!K36:K44</v>
      </c>
      <c r="P200" s="65" t="str">
        <f t="shared" ca="1" si="45"/>
        <v>"</v>
      </c>
      <c r="Q200" s="75" t="str">
        <f t="shared" si="48"/>
        <v/>
      </c>
      <c r="R200" s="5" t="str">
        <f t="shared" si="49"/>
        <v/>
      </c>
      <c r="S200" s="5" t="str">
        <f t="shared" si="47"/>
        <v/>
      </c>
      <c r="T200" s="76" t="str">
        <f t="shared" si="50"/>
        <v/>
      </c>
      <c r="U200" s="5">
        <f t="shared" si="44"/>
        <v>0</v>
      </c>
      <c r="V200" s="5">
        <f t="shared" si="44"/>
        <v>0</v>
      </c>
      <c r="W200" s="77" t="str">
        <f t="shared" si="40"/>
        <v/>
      </c>
      <c r="X200" s="65" t="str">
        <f t="shared" si="41"/>
        <v/>
      </c>
      <c r="Y200" s="78" t="str">
        <f t="shared" si="42"/>
        <v/>
      </c>
      <c r="Z200" s="21"/>
      <c r="AA200" s="138"/>
      <c r="AB200" s="21"/>
    </row>
    <row r="201" spans="1:28" x14ac:dyDescent="0.25">
      <c r="A201" s="21"/>
      <c r="B201" s="18"/>
      <c r="C201" s="85" t="str">
        <f>IF(B201="","",INDEX(Elements!B:B,MATCH(Design!B201,Elements!A:A,0)))</f>
        <v/>
      </c>
      <c r="D201" s="13"/>
      <c r="E201" s="85" t="str">
        <f>IFERROR(IF(D201="","",INDEX(Elements!J:J,MATCH(Design!D201,Elements!I:I,0))),SUBSTITUTE(D201," ",""))</f>
        <v/>
      </c>
      <c r="F201" s="13"/>
      <c r="G201" s="84" t="str">
        <f>IFERROR(IF(F201="","",INDEX(Elements!L:L,MATCH(Design!F201,Elements!K:K,0))),F201)</f>
        <v/>
      </c>
      <c r="H201" s="12"/>
      <c r="I201" s="14"/>
      <c r="J201" s="63" t="str">
        <f t="shared" ca="1" si="43"/>
        <v>columnHeaders</v>
      </c>
      <c r="K201" s="63">
        <f t="shared" ca="1" si="46"/>
        <v>0</v>
      </c>
      <c r="L201" s="63" t="str">
        <f ca="1">IF(K201="fontFamily","fontFamily",IF(K201="fontSize","fontSize",IFERROR(INDEX(Elements!M:M,MATCH(Design!J201&amp;"|"&amp;Design!K201,Elements!N:N,0)),"")))</f>
        <v/>
      </c>
      <c r="M201" s="65" t="str">
        <f ca="1">IF(OR(L201="",L201="fill"),"",MATCH(IF(L201="enumeration",J201&amp;"|"&amp;G201,Design!L201),Elements!N:N,0))</f>
        <v/>
      </c>
      <c r="N201" s="65" t="str">
        <f t="shared" si="39"/>
        <v/>
      </c>
      <c r="O201" s="65" t="str">
        <f ca="1">"Elements!"&amp;INDEX(Elements!H:H,MATCH(Design!J201,Elements!J:J,0))</f>
        <v>Elements!K36:K44</v>
      </c>
      <c r="P201" s="65" t="str">
        <f t="shared" ca="1" si="45"/>
        <v>"</v>
      </c>
      <c r="Q201" s="75" t="str">
        <f t="shared" si="48"/>
        <v/>
      </c>
      <c r="R201" s="5" t="str">
        <f t="shared" si="49"/>
        <v/>
      </c>
      <c r="S201" s="5" t="str">
        <f t="shared" si="47"/>
        <v/>
      </c>
      <c r="T201" s="76" t="str">
        <f t="shared" si="50"/>
        <v/>
      </c>
      <c r="U201" s="5">
        <f t="shared" si="44"/>
        <v>0</v>
      </c>
      <c r="V201" s="5">
        <f t="shared" si="44"/>
        <v>0</v>
      </c>
      <c r="W201" s="77" t="str">
        <f t="shared" si="40"/>
        <v/>
      </c>
      <c r="X201" s="65" t="str">
        <f t="shared" si="41"/>
        <v/>
      </c>
      <c r="Y201" s="78" t="str">
        <f t="shared" si="42"/>
        <v/>
      </c>
      <c r="Z201" s="21"/>
      <c r="AA201" s="138"/>
      <c r="AB201" s="21"/>
    </row>
    <row r="202" spans="1:28" x14ac:dyDescent="0.25">
      <c r="A202" s="21"/>
      <c r="B202" s="18"/>
      <c r="C202" s="85" t="str">
        <f>IF(B202="","",INDEX(Elements!B:B,MATCH(Design!B202,Elements!A:A,0)))</f>
        <v/>
      </c>
      <c r="D202" s="13"/>
      <c r="E202" s="85" t="str">
        <f>IFERROR(IF(D202="","",INDEX(Elements!J:J,MATCH(Design!D202,Elements!I:I,0))),SUBSTITUTE(D202," ",""))</f>
        <v/>
      </c>
      <c r="F202" s="13"/>
      <c r="G202" s="84" t="str">
        <f>IFERROR(IF(F202="","",INDEX(Elements!L:L,MATCH(Design!F202,Elements!K:K,0))),F202)</f>
        <v/>
      </c>
      <c r="H202" s="12"/>
      <c r="I202" s="14"/>
      <c r="J202" s="63" t="str">
        <f t="shared" ca="1" si="43"/>
        <v>columnHeaders</v>
      </c>
      <c r="K202" s="63">
        <f t="shared" ca="1" si="46"/>
        <v>0</v>
      </c>
      <c r="L202" s="63" t="str">
        <f ca="1">IF(K202="fontFamily","fontFamily",IF(K202="fontSize","fontSize",IFERROR(INDEX(Elements!M:M,MATCH(Design!J202&amp;"|"&amp;Design!K202,Elements!N:N,0)),"")))</f>
        <v/>
      </c>
      <c r="M202" s="65" t="str">
        <f ca="1">IF(OR(L202="",L202="fill"),"",MATCH(IF(L202="enumeration",J202&amp;"|"&amp;G202,Design!L202),Elements!N:N,0))</f>
        <v/>
      </c>
      <c r="N202" s="65" t="str">
        <f t="shared" si="39"/>
        <v/>
      </c>
      <c r="O202" s="65" t="str">
        <f ca="1">"Elements!"&amp;INDEX(Elements!H:H,MATCH(Design!J202,Elements!J:J,0))</f>
        <v>Elements!K36:K44</v>
      </c>
      <c r="P202" s="65" t="str">
        <f t="shared" ca="1" si="45"/>
        <v>"</v>
      </c>
      <c r="Q202" s="75" t="str">
        <f t="shared" si="48"/>
        <v/>
      </c>
      <c r="R202" s="5" t="str">
        <f t="shared" si="49"/>
        <v/>
      </c>
      <c r="S202" s="5" t="str">
        <f t="shared" si="47"/>
        <v/>
      </c>
      <c r="T202" s="76" t="str">
        <f t="shared" si="50"/>
        <v/>
      </c>
      <c r="U202" s="5">
        <f t="shared" si="44"/>
        <v>0</v>
      </c>
      <c r="V202" s="5">
        <f t="shared" si="44"/>
        <v>0</v>
      </c>
      <c r="W202" s="77" t="str">
        <f t="shared" si="40"/>
        <v/>
      </c>
      <c r="X202" s="65" t="str">
        <f t="shared" si="41"/>
        <v/>
      </c>
      <c r="Y202" s="78" t="str">
        <f t="shared" si="42"/>
        <v/>
      </c>
      <c r="Z202" s="21"/>
      <c r="AA202" s="138"/>
      <c r="AB202" s="21"/>
    </row>
    <row r="203" spans="1:28" x14ac:dyDescent="0.25">
      <c r="A203" s="21"/>
      <c r="B203" s="18"/>
      <c r="C203" s="85" t="str">
        <f>IF(B203="","",INDEX(Elements!B:B,MATCH(Design!B203,Elements!A:A,0)))</f>
        <v/>
      </c>
      <c r="D203" s="13"/>
      <c r="E203" s="85" t="str">
        <f>IFERROR(IF(D203="","",INDEX(Elements!J:J,MATCH(Design!D203,Elements!I:I,0))),SUBSTITUTE(D203," ",""))</f>
        <v/>
      </c>
      <c r="F203" s="13"/>
      <c r="G203" s="84" t="str">
        <f>IFERROR(IF(F203="","",INDEX(Elements!L:L,MATCH(Design!F203,Elements!K:K,0))),F203)</f>
        <v/>
      </c>
      <c r="H203" s="12"/>
      <c r="I203" s="14"/>
      <c r="J203" s="63" t="str">
        <f t="shared" ca="1" si="43"/>
        <v>columnHeaders</v>
      </c>
      <c r="K203" s="63">
        <f t="shared" ca="1" si="46"/>
        <v>0</v>
      </c>
      <c r="L203" s="63" t="str">
        <f ca="1">IF(K203="fontFamily","fontFamily",IF(K203="fontSize","fontSize",IFERROR(INDEX(Elements!M:M,MATCH(Design!J203&amp;"|"&amp;Design!K203,Elements!N:N,0)),"")))</f>
        <v/>
      </c>
      <c r="M203" s="65" t="str">
        <f ca="1">IF(OR(L203="",L203="fill"),"",MATCH(IF(L203="enumeration",J203&amp;"|"&amp;G203,Design!L203),Elements!N:N,0))</f>
        <v/>
      </c>
      <c r="N203" s="65" t="str">
        <f t="shared" si="39"/>
        <v/>
      </c>
      <c r="O203" s="65" t="str">
        <f ca="1">"Elements!"&amp;INDEX(Elements!H:H,MATCH(Design!J203,Elements!J:J,0))</f>
        <v>Elements!K36:K44</v>
      </c>
      <c r="P203" s="65" t="str">
        <f t="shared" ca="1" si="45"/>
        <v>"</v>
      </c>
      <c r="Q203" s="75" t="str">
        <f t="shared" si="48"/>
        <v/>
      </c>
      <c r="R203" s="5" t="str">
        <f t="shared" si="49"/>
        <v/>
      </c>
      <c r="S203" s="5" t="str">
        <f t="shared" si="47"/>
        <v/>
      </c>
      <c r="T203" s="76" t="str">
        <f t="shared" si="50"/>
        <v/>
      </c>
      <c r="U203" s="5">
        <f t="shared" si="44"/>
        <v>0</v>
      </c>
      <c r="V203" s="5">
        <f t="shared" si="44"/>
        <v>0</v>
      </c>
      <c r="W203" s="77" t="str">
        <f t="shared" si="40"/>
        <v/>
      </c>
      <c r="X203" s="65" t="str">
        <f t="shared" si="41"/>
        <v/>
      </c>
      <c r="Y203" s="78" t="str">
        <f t="shared" si="42"/>
        <v/>
      </c>
      <c r="Z203" s="21"/>
      <c r="AA203" s="138"/>
      <c r="AB203" s="21"/>
    </row>
    <row r="204" spans="1:28" x14ac:dyDescent="0.25">
      <c r="A204" s="21"/>
      <c r="B204" s="18"/>
      <c r="C204" s="85" t="str">
        <f>IF(B204="","",INDEX(Elements!B:B,MATCH(Design!B204,Elements!A:A,0)))</f>
        <v/>
      </c>
      <c r="D204" s="13"/>
      <c r="E204" s="85" t="str">
        <f>IFERROR(IF(D204="","",INDEX(Elements!J:J,MATCH(Design!D204,Elements!I:I,0))),SUBSTITUTE(D204," ",""))</f>
        <v/>
      </c>
      <c r="F204" s="13"/>
      <c r="G204" s="84" t="str">
        <f>IFERROR(IF(F204="","",INDEX(Elements!L:L,MATCH(Design!F204,Elements!K:K,0))),F204)</f>
        <v/>
      </c>
      <c r="H204" s="12"/>
      <c r="I204" s="14"/>
      <c r="J204" s="63" t="str">
        <f t="shared" ca="1" si="43"/>
        <v>columnHeaders</v>
      </c>
      <c r="K204" s="63">
        <f t="shared" ca="1" si="46"/>
        <v>0</v>
      </c>
      <c r="L204" s="63" t="str">
        <f ca="1">IF(K204="fontFamily","fontFamily",IF(K204="fontSize","fontSize",IFERROR(INDEX(Elements!M:M,MATCH(Design!J204&amp;"|"&amp;Design!K204,Elements!N:N,0)),"")))</f>
        <v/>
      </c>
      <c r="M204" s="65" t="str">
        <f ca="1">IF(OR(L204="",L204="fill"),"",MATCH(IF(L204="enumeration",J204&amp;"|"&amp;G204,Design!L204),Elements!N:N,0))</f>
        <v/>
      </c>
      <c r="N204" s="65" t="str">
        <f t="shared" si="39"/>
        <v/>
      </c>
      <c r="O204" s="65" t="str">
        <f ca="1">"Elements!"&amp;INDEX(Elements!H:H,MATCH(Design!J204,Elements!J:J,0))</f>
        <v>Elements!K36:K44</v>
      </c>
      <c r="P204" s="65" t="str">
        <f t="shared" ca="1" si="45"/>
        <v>"</v>
      </c>
      <c r="Q204" s="75" t="str">
        <f t="shared" si="48"/>
        <v/>
      </c>
      <c r="R204" s="5" t="str">
        <f t="shared" si="49"/>
        <v/>
      </c>
      <c r="S204" s="5" t="str">
        <f t="shared" si="47"/>
        <v/>
      </c>
      <c r="T204" s="76" t="str">
        <f t="shared" si="50"/>
        <v/>
      </c>
      <c r="U204" s="5">
        <f t="shared" si="44"/>
        <v>0</v>
      </c>
      <c r="V204" s="5">
        <f t="shared" si="44"/>
        <v>0</v>
      </c>
      <c r="W204" s="77" t="str">
        <f t="shared" si="40"/>
        <v/>
      </c>
      <c r="X204" s="65" t="str">
        <f t="shared" si="41"/>
        <v/>
      </c>
      <c r="Y204" s="78" t="str">
        <f t="shared" si="42"/>
        <v/>
      </c>
      <c r="Z204" s="21"/>
      <c r="AA204" s="138"/>
      <c r="AB204" s="21"/>
    </row>
    <row r="205" spans="1:28" x14ac:dyDescent="0.25">
      <c r="A205" s="21"/>
      <c r="B205" s="18"/>
      <c r="C205" s="85" t="str">
        <f>IF(B205="","",INDEX(Elements!B:B,MATCH(Design!B205,Elements!A:A,0)))</f>
        <v/>
      </c>
      <c r="D205" s="13"/>
      <c r="E205" s="85" t="str">
        <f>IFERROR(IF(D205="","",INDEX(Elements!J:J,MATCH(Design!D205,Elements!I:I,0))),SUBSTITUTE(D205," ",""))</f>
        <v/>
      </c>
      <c r="F205" s="13"/>
      <c r="G205" s="84" t="str">
        <f>IFERROR(IF(F205="","",INDEX(Elements!L:L,MATCH(Design!F205,Elements!K:K,0))),F205)</f>
        <v/>
      </c>
      <c r="H205" s="12"/>
      <c r="I205" s="14"/>
      <c r="J205" s="63" t="str">
        <f t="shared" ca="1" si="43"/>
        <v>columnHeaders</v>
      </c>
      <c r="K205" s="63">
        <f t="shared" ca="1" si="46"/>
        <v>0</v>
      </c>
      <c r="L205" s="63" t="str">
        <f ca="1">IF(K205="fontFamily","fontFamily",IF(K205="fontSize","fontSize",IFERROR(INDEX(Elements!M:M,MATCH(Design!J205&amp;"|"&amp;Design!K205,Elements!N:N,0)),"")))</f>
        <v/>
      </c>
      <c r="M205" s="65" t="str">
        <f ca="1">IF(OR(L205="",L205="fill"),"",MATCH(IF(L205="enumeration",J205&amp;"|"&amp;G205,Design!L205),Elements!N:N,0))</f>
        <v/>
      </c>
      <c r="N205" s="65" t="str">
        <f t="shared" si="39"/>
        <v/>
      </c>
      <c r="O205" s="65" t="str">
        <f ca="1">"Elements!"&amp;INDEX(Elements!H:H,MATCH(Design!J205,Elements!J:J,0))</f>
        <v>Elements!K36:K44</v>
      </c>
      <c r="P205" s="65" t="str">
        <f t="shared" ca="1" si="45"/>
        <v>"</v>
      </c>
      <c r="Q205" s="75" t="str">
        <f t="shared" si="48"/>
        <v/>
      </c>
      <c r="R205" s="5" t="str">
        <f t="shared" si="49"/>
        <v/>
      </c>
      <c r="S205" s="5" t="str">
        <f t="shared" si="47"/>
        <v/>
      </c>
      <c r="T205" s="76" t="str">
        <f t="shared" si="50"/>
        <v/>
      </c>
      <c r="U205" s="5">
        <f t="shared" si="44"/>
        <v>0</v>
      </c>
      <c r="V205" s="5">
        <f t="shared" si="44"/>
        <v>0</v>
      </c>
      <c r="W205" s="77" t="str">
        <f t="shared" si="40"/>
        <v/>
      </c>
      <c r="X205" s="65" t="str">
        <f t="shared" si="41"/>
        <v/>
      </c>
      <c r="Y205" s="78" t="str">
        <f t="shared" si="42"/>
        <v/>
      </c>
      <c r="Z205" s="21"/>
      <c r="AA205" s="138"/>
      <c r="AB205" s="21"/>
    </row>
    <row r="206" spans="1:28" x14ac:dyDescent="0.25">
      <c r="A206" s="21"/>
      <c r="B206" s="18"/>
      <c r="C206" s="85" t="str">
        <f>IF(B206="","",INDEX(Elements!B:B,MATCH(Design!B206,Elements!A:A,0)))</f>
        <v/>
      </c>
      <c r="D206" s="13"/>
      <c r="E206" s="85" t="str">
        <f>IFERROR(IF(D206="","",INDEX(Elements!J:J,MATCH(Design!D206,Elements!I:I,0))),SUBSTITUTE(D206," ",""))</f>
        <v/>
      </c>
      <c r="F206" s="13"/>
      <c r="G206" s="84" t="str">
        <f>IFERROR(IF(F206="","",INDEX(Elements!L:L,MATCH(Design!F206,Elements!K:K,0))),F206)</f>
        <v/>
      </c>
      <c r="H206" s="12"/>
      <c r="I206" s="14"/>
      <c r="J206" s="63" t="str">
        <f t="shared" ca="1" si="43"/>
        <v>columnHeaders</v>
      </c>
      <c r="K206" s="63">
        <f t="shared" ca="1" si="46"/>
        <v>0</v>
      </c>
      <c r="L206" s="63" t="str">
        <f ca="1">IF(K206="fontFamily","fontFamily",IF(K206="fontSize","fontSize",IFERROR(INDEX(Elements!M:M,MATCH(Design!J206&amp;"|"&amp;Design!K206,Elements!N:N,0)),"")))</f>
        <v/>
      </c>
      <c r="M206" s="65" t="str">
        <f ca="1">IF(OR(L206="",L206="fill"),"",MATCH(IF(L206="enumeration",J206&amp;"|"&amp;G206,Design!L206),Elements!N:N,0))</f>
        <v/>
      </c>
      <c r="N206" s="65" t="str">
        <f t="shared" si="39"/>
        <v/>
      </c>
      <c r="O206" s="65" t="str">
        <f ca="1">"Elements!"&amp;INDEX(Elements!H:H,MATCH(Design!J206,Elements!J:J,0))</f>
        <v>Elements!K36:K44</v>
      </c>
      <c r="P206" s="65" t="str">
        <f t="shared" ca="1" si="45"/>
        <v>"</v>
      </c>
      <c r="Q206" s="75" t="str">
        <f t="shared" si="48"/>
        <v/>
      </c>
      <c r="R206" s="5" t="str">
        <f t="shared" si="49"/>
        <v/>
      </c>
      <c r="S206" s="5" t="str">
        <f t="shared" si="47"/>
        <v/>
      </c>
      <c r="T206" s="76" t="str">
        <f t="shared" si="50"/>
        <v/>
      </c>
      <c r="U206" s="5">
        <f t="shared" si="44"/>
        <v>0</v>
      </c>
      <c r="V206" s="5">
        <f t="shared" si="44"/>
        <v>0</v>
      </c>
      <c r="W206" s="77" t="str">
        <f t="shared" si="40"/>
        <v/>
      </c>
      <c r="X206" s="65" t="str">
        <f t="shared" si="41"/>
        <v/>
      </c>
      <c r="Y206" s="78" t="str">
        <f t="shared" si="42"/>
        <v/>
      </c>
      <c r="Z206" s="21"/>
      <c r="AA206" s="138"/>
      <c r="AB206" s="21"/>
    </row>
    <row r="207" spans="1:28" x14ac:dyDescent="0.25">
      <c r="A207" s="21"/>
      <c r="B207" s="18"/>
      <c r="C207" s="85" t="str">
        <f>IF(B207="","",INDEX(Elements!B:B,MATCH(Design!B207,Elements!A:A,0)))</f>
        <v/>
      </c>
      <c r="D207" s="13"/>
      <c r="E207" s="85" t="str">
        <f>IFERROR(IF(D207="","",INDEX(Elements!J:J,MATCH(Design!D207,Elements!I:I,0))),SUBSTITUTE(D207," ",""))</f>
        <v/>
      </c>
      <c r="F207" s="13"/>
      <c r="G207" s="84" t="str">
        <f>IFERROR(IF(F207="","",INDEX(Elements!L:L,MATCH(Design!F207,Elements!K:K,0))),F207)</f>
        <v/>
      </c>
      <c r="H207" s="12"/>
      <c r="I207" s="14"/>
      <c r="J207" s="63" t="str">
        <f t="shared" ca="1" si="43"/>
        <v>columnHeaders</v>
      </c>
      <c r="K207" s="63">
        <f t="shared" ca="1" si="46"/>
        <v>0</v>
      </c>
      <c r="L207" s="63" t="str">
        <f ca="1">IF(K207="fontFamily","fontFamily",IF(K207="fontSize","fontSize",IFERROR(INDEX(Elements!M:M,MATCH(Design!J207&amp;"|"&amp;Design!K207,Elements!N:N,0)),"")))</f>
        <v/>
      </c>
      <c r="M207" s="65" t="str">
        <f ca="1">IF(OR(L207="",L207="fill"),"",MATCH(IF(L207="enumeration",J207&amp;"|"&amp;G207,Design!L207),Elements!N:N,0))</f>
        <v/>
      </c>
      <c r="N207" s="65" t="str">
        <f t="shared" si="39"/>
        <v/>
      </c>
      <c r="O207" s="65" t="str">
        <f ca="1">"Elements!"&amp;INDEX(Elements!H:H,MATCH(Design!J207,Elements!J:J,0))</f>
        <v>Elements!K36:K44</v>
      </c>
      <c r="P207" s="65" t="str">
        <f t="shared" ca="1" si="45"/>
        <v>"</v>
      </c>
      <c r="Q207" s="75" t="str">
        <f t="shared" si="48"/>
        <v/>
      </c>
      <c r="R207" s="5" t="str">
        <f t="shared" si="49"/>
        <v/>
      </c>
      <c r="S207" s="5" t="str">
        <f t="shared" si="47"/>
        <v/>
      </c>
      <c r="T207" s="76" t="str">
        <f t="shared" si="50"/>
        <v/>
      </c>
      <c r="U207" s="5">
        <f t="shared" si="44"/>
        <v>0</v>
      </c>
      <c r="V207" s="5">
        <f t="shared" si="44"/>
        <v>0</v>
      </c>
      <c r="W207" s="77" t="str">
        <f t="shared" si="40"/>
        <v/>
      </c>
      <c r="X207" s="65" t="str">
        <f t="shared" si="41"/>
        <v/>
      </c>
      <c r="Y207" s="78" t="str">
        <f t="shared" si="42"/>
        <v/>
      </c>
      <c r="Z207" s="21"/>
      <c r="AA207" s="138"/>
      <c r="AB207" s="21"/>
    </row>
    <row r="208" spans="1:28" x14ac:dyDescent="0.25">
      <c r="A208" s="21"/>
      <c r="B208" s="18"/>
      <c r="C208" s="85" t="str">
        <f>IF(B208="","",INDEX(Elements!B:B,MATCH(Design!B208,Elements!A:A,0)))</f>
        <v/>
      </c>
      <c r="D208" s="13"/>
      <c r="E208" s="85" t="str">
        <f>IFERROR(IF(D208="","",INDEX(Elements!J:J,MATCH(Design!D208,Elements!I:I,0))),SUBSTITUTE(D208," ",""))</f>
        <v/>
      </c>
      <c r="F208" s="13"/>
      <c r="G208" s="84" t="str">
        <f>IFERROR(IF(F208="","",INDEX(Elements!L:L,MATCH(Design!F208,Elements!K:K,0))),F208)</f>
        <v/>
      </c>
      <c r="H208" s="12"/>
      <c r="I208" s="14"/>
      <c r="J208" s="63" t="str">
        <f t="shared" ca="1" si="43"/>
        <v>columnHeaders</v>
      </c>
      <c r="K208" s="63">
        <f t="shared" ca="1" si="46"/>
        <v>0</v>
      </c>
      <c r="L208" s="63" t="str">
        <f ca="1">IF(K208="fontFamily","fontFamily",IF(K208="fontSize","fontSize",IFERROR(INDEX(Elements!M:M,MATCH(Design!J208&amp;"|"&amp;Design!K208,Elements!N:N,0)),"")))</f>
        <v/>
      </c>
      <c r="M208" s="65" t="str">
        <f ca="1">IF(OR(L208="",L208="fill"),"",MATCH(IF(L208="enumeration",J208&amp;"|"&amp;G208,Design!L208),Elements!N:N,0))</f>
        <v/>
      </c>
      <c r="N208" s="65" t="str">
        <f t="shared" si="39"/>
        <v/>
      </c>
      <c r="O208" s="65" t="str">
        <f ca="1">"Elements!"&amp;INDEX(Elements!H:H,MATCH(Design!J208,Elements!J:J,0))</f>
        <v>Elements!K36:K44</v>
      </c>
      <c r="P208" s="65" t="str">
        <f t="shared" ca="1" si="45"/>
        <v>"</v>
      </c>
      <c r="Q208" s="75" t="str">
        <f t="shared" si="48"/>
        <v/>
      </c>
      <c r="R208" s="5" t="str">
        <f t="shared" si="49"/>
        <v/>
      </c>
      <c r="S208" s="5" t="str">
        <f t="shared" si="47"/>
        <v/>
      </c>
      <c r="T208" s="76" t="str">
        <f t="shared" si="50"/>
        <v/>
      </c>
      <c r="U208" s="5">
        <f t="shared" si="44"/>
        <v>0</v>
      </c>
      <c r="V208" s="5">
        <f t="shared" si="44"/>
        <v>0</v>
      </c>
      <c r="W208" s="77" t="str">
        <f t="shared" si="40"/>
        <v/>
      </c>
      <c r="X208" s="65" t="str">
        <f t="shared" si="41"/>
        <v/>
      </c>
      <c r="Y208" s="78" t="str">
        <f t="shared" si="42"/>
        <v/>
      </c>
      <c r="Z208" s="21"/>
      <c r="AA208" s="138"/>
      <c r="AB208" s="21"/>
    </row>
    <row r="209" spans="1:28" x14ac:dyDescent="0.25">
      <c r="A209" s="21"/>
      <c r="B209" s="18"/>
      <c r="C209" s="85" t="str">
        <f>IF(B209="","",INDEX(Elements!B:B,MATCH(Design!B209,Elements!A:A,0)))</f>
        <v/>
      </c>
      <c r="D209" s="13"/>
      <c r="E209" s="85" t="str">
        <f>IFERROR(IF(D209="","",INDEX(Elements!J:J,MATCH(Design!D209,Elements!I:I,0))),SUBSTITUTE(D209," ",""))</f>
        <v/>
      </c>
      <c r="F209" s="13"/>
      <c r="G209" s="84" t="str">
        <f>IFERROR(IF(F209="","",INDEX(Elements!L:L,MATCH(Design!F209,Elements!K:K,0))),F209)</f>
        <v/>
      </c>
      <c r="H209" s="12"/>
      <c r="I209" s="14"/>
      <c r="J209" s="63" t="str">
        <f t="shared" ca="1" si="43"/>
        <v>columnHeaders</v>
      </c>
      <c r="K209" s="63">
        <f t="shared" ca="1" si="46"/>
        <v>0</v>
      </c>
      <c r="L209" s="63" t="str">
        <f ca="1">IF(K209="fontFamily","fontFamily",IF(K209="fontSize","fontSize",IFERROR(INDEX(Elements!M:M,MATCH(Design!J209&amp;"|"&amp;Design!K209,Elements!N:N,0)),"")))</f>
        <v/>
      </c>
      <c r="M209" s="65" t="str">
        <f ca="1">IF(OR(L209="",L209="fill"),"",MATCH(IF(L209="enumeration",J209&amp;"|"&amp;G209,Design!L209),Elements!N:N,0))</f>
        <v/>
      </c>
      <c r="N209" s="65" t="str">
        <f t="shared" ref="N209:N272" si="51">IF(G209="","",IFERROR(IF(L209="fill","Design!$C$8:$H$9",IF(M209="","Design!$A$1","Elements!O"&amp;M209&amp;":AZ"&amp;M209)),"Design!$A$1"))</f>
        <v/>
      </c>
      <c r="O209" s="65" t="str">
        <f ca="1">"Elements!"&amp;INDEX(Elements!H:H,MATCH(Design!J209,Elements!J:J,0))</f>
        <v>Elements!K36:K44</v>
      </c>
      <c r="P209" s="65" t="str">
        <f t="shared" ca="1" si="45"/>
        <v>"</v>
      </c>
      <c r="Q209" s="75" t="str">
        <f t="shared" si="48"/>
        <v/>
      </c>
      <c r="R209" s="5" t="str">
        <f t="shared" si="49"/>
        <v/>
      </c>
      <c r="S209" s="5" t="str">
        <f t="shared" si="47"/>
        <v/>
      </c>
      <c r="T209" s="76" t="str">
        <f t="shared" si="50"/>
        <v/>
      </c>
      <c r="U209" s="5">
        <f t="shared" si="44"/>
        <v>0</v>
      </c>
      <c r="V209" s="5">
        <f t="shared" si="44"/>
        <v>0</v>
      </c>
      <c r="W209" s="77" t="str">
        <f t="shared" si="40"/>
        <v/>
      </c>
      <c r="X209" s="65" t="str">
        <f t="shared" si="41"/>
        <v/>
      </c>
      <c r="Y209" s="78" t="str">
        <f t="shared" si="42"/>
        <v/>
      </c>
      <c r="Z209" s="21"/>
      <c r="AA209" s="138"/>
      <c r="AB209" s="21"/>
    </row>
    <row r="210" spans="1:28" x14ac:dyDescent="0.25">
      <c r="A210" s="21"/>
      <c r="B210" s="18"/>
      <c r="C210" s="85" t="str">
        <f>IF(B210="","",INDEX(Elements!B:B,MATCH(Design!B210,Elements!A:A,0)))</f>
        <v/>
      </c>
      <c r="D210" s="13"/>
      <c r="E210" s="85" t="str">
        <f>IFERROR(IF(D210="","",INDEX(Elements!J:J,MATCH(Design!D210,Elements!I:I,0))),SUBSTITUTE(D210," ",""))</f>
        <v/>
      </c>
      <c r="F210" s="13"/>
      <c r="G210" s="84" t="str">
        <f>IFERROR(IF(F210="","",INDEX(Elements!L:L,MATCH(Design!F210,Elements!K:K,0))),F210)</f>
        <v/>
      </c>
      <c r="H210" s="12"/>
      <c r="I210" s="14"/>
      <c r="J210" s="63" t="str">
        <f t="shared" ca="1" si="43"/>
        <v>columnHeaders</v>
      </c>
      <c r="K210" s="63">
        <f t="shared" ca="1" si="46"/>
        <v>0</v>
      </c>
      <c r="L210" s="63" t="str">
        <f ca="1">IF(K210="fontFamily","fontFamily",IF(K210="fontSize","fontSize",IFERROR(INDEX(Elements!M:M,MATCH(Design!J210&amp;"|"&amp;Design!K210,Elements!N:N,0)),"")))</f>
        <v/>
      </c>
      <c r="M210" s="65" t="str">
        <f ca="1">IF(OR(L210="",L210="fill"),"",MATCH(IF(L210="enumeration",J210&amp;"|"&amp;G210,Design!L210),Elements!N:N,0))</f>
        <v/>
      </c>
      <c r="N210" s="65" t="str">
        <f t="shared" si="51"/>
        <v/>
      </c>
      <c r="O210" s="65" t="str">
        <f ca="1">"Elements!"&amp;INDEX(Elements!H:H,MATCH(Design!J210,Elements!J:J,0))</f>
        <v>Elements!K36:K44</v>
      </c>
      <c r="P210" s="65" t="str">
        <f t="shared" ca="1" si="45"/>
        <v>"</v>
      </c>
      <c r="Q210" s="75" t="str">
        <f t="shared" si="48"/>
        <v/>
      </c>
      <c r="R210" s="5" t="str">
        <f t="shared" si="49"/>
        <v/>
      </c>
      <c r="S210" s="5" t="str">
        <f t="shared" si="47"/>
        <v/>
      </c>
      <c r="T210" s="76" t="str">
        <f t="shared" si="50"/>
        <v/>
      </c>
      <c r="U210" s="5">
        <f t="shared" si="44"/>
        <v>0</v>
      </c>
      <c r="V210" s="5">
        <f t="shared" si="44"/>
        <v>0</v>
      </c>
      <c r="W210" s="77" t="str">
        <f t="shared" ref="W210:W273" si="52">IF(LEFT(H210,1)&lt;&gt;"#","",HEX2DEC(RIGHT(H210,2)))</f>
        <v/>
      </c>
      <c r="X210" s="65" t="str">
        <f t="shared" ref="X210:X273" si="53">IF(LEFT(H210,1)&lt;&gt;"#","",HEX2DEC(MID(H210,4,2)))</f>
        <v/>
      </c>
      <c r="Y210" s="78" t="str">
        <f t="shared" ref="Y210:Y273" si="54">IF(LEFT(H210,1)&lt;&gt;"#","",HEX2DEC(MID(H210,2,2)))</f>
        <v/>
      </c>
      <c r="Z210" s="21"/>
      <c r="AA210" s="138"/>
      <c r="AB210" s="21"/>
    </row>
    <row r="211" spans="1:28" x14ac:dyDescent="0.25">
      <c r="A211" s="21"/>
      <c r="B211" s="18"/>
      <c r="C211" s="85" t="str">
        <f>IF(B211="","",INDEX(Elements!B:B,MATCH(Design!B211,Elements!A:A,0)))</f>
        <v/>
      </c>
      <c r="D211" s="13"/>
      <c r="E211" s="85" t="str">
        <f>IFERROR(IF(D211="","",INDEX(Elements!J:J,MATCH(Design!D211,Elements!I:I,0))),SUBSTITUTE(D211," ",""))</f>
        <v/>
      </c>
      <c r="F211" s="13"/>
      <c r="G211" s="84" t="str">
        <f>IFERROR(IF(F211="","",INDEX(Elements!L:L,MATCH(Design!F211,Elements!K:K,0))),F211)</f>
        <v/>
      </c>
      <c r="H211" s="12"/>
      <c r="I211" s="14"/>
      <c r="J211" s="63" t="str">
        <f t="shared" ca="1" si="43"/>
        <v>columnHeaders</v>
      </c>
      <c r="K211" s="63">
        <f t="shared" ca="1" si="46"/>
        <v>0</v>
      </c>
      <c r="L211" s="63" t="str">
        <f ca="1">IF(K211="fontFamily","fontFamily",IF(K211="fontSize","fontSize",IFERROR(INDEX(Elements!M:M,MATCH(Design!J211&amp;"|"&amp;Design!K211,Elements!N:N,0)),"")))</f>
        <v/>
      </c>
      <c r="M211" s="65" t="str">
        <f ca="1">IF(OR(L211="",L211="fill"),"",MATCH(IF(L211="enumeration",J211&amp;"|"&amp;G211,Design!L211),Elements!N:N,0))</f>
        <v/>
      </c>
      <c r="N211" s="65" t="str">
        <f t="shared" si="51"/>
        <v/>
      </c>
      <c r="O211" s="65" t="str">
        <f ca="1">"Elements!"&amp;INDEX(Elements!H:H,MATCH(Design!J211,Elements!J:J,0))</f>
        <v>Elements!K36:K44</v>
      </c>
      <c r="P211" s="65" t="str">
        <f t="shared" ca="1" si="45"/>
        <v>"</v>
      </c>
      <c r="Q211" s="75" t="str">
        <f t="shared" si="48"/>
        <v/>
      </c>
      <c r="R211" s="5" t="str">
        <f t="shared" si="49"/>
        <v/>
      </c>
      <c r="S211" s="5" t="str">
        <f t="shared" si="47"/>
        <v/>
      </c>
      <c r="T211" s="76" t="str">
        <f t="shared" si="50"/>
        <v/>
      </c>
      <c r="U211" s="5">
        <f t="shared" si="44"/>
        <v>0</v>
      </c>
      <c r="V211" s="5">
        <f t="shared" si="44"/>
        <v>0</v>
      </c>
      <c r="W211" s="77" t="str">
        <f t="shared" si="52"/>
        <v/>
      </c>
      <c r="X211" s="65" t="str">
        <f t="shared" si="53"/>
        <v/>
      </c>
      <c r="Y211" s="78" t="str">
        <f t="shared" si="54"/>
        <v/>
      </c>
      <c r="Z211" s="21"/>
      <c r="AA211" s="138"/>
      <c r="AB211" s="21"/>
    </row>
    <row r="212" spans="1:28" x14ac:dyDescent="0.25">
      <c r="A212" s="21"/>
      <c r="B212" s="18"/>
      <c r="C212" s="85" t="str">
        <f>IF(B212="","",INDEX(Elements!B:B,MATCH(Design!B212,Elements!A:A,0)))</f>
        <v/>
      </c>
      <c r="D212" s="13"/>
      <c r="E212" s="85" t="str">
        <f>IFERROR(IF(D212="","",INDEX(Elements!J:J,MATCH(Design!D212,Elements!I:I,0))),SUBSTITUTE(D212," ",""))</f>
        <v/>
      </c>
      <c r="F212" s="13"/>
      <c r="G212" s="84" t="str">
        <f>IFERROR(IF(F212="","",INDEX(Elements!L:L,MATCH(Design!F212,Elements!K:K,0))),F212)</f>
        <v/>
      </c>
      <c r="H212" s="12"/>
      <c r="I212" s="14"/>
      <c r="J212" s="63" t="str">
        <f t="shared" ca="1" si="43"/>
        <v>columnHeaders</v>
      </c>
      <c r="K212" s="63">
        <f t="shared" ca="1" si="46"/>
        <v>0</v>
      </c>
      <c r="L212" s="63" t="str">
        <f ca="1">IF(K212="fontFamily","fontFamily",IF(K212="fontSize","fontSize",IFERROR(INDEX(Elements!M:M,MATCH(Design!J212&amp;"|"&amp;Design!K212,Elements!N:N,0)),"")))</f>
        <v/>
      </c>
      <c r="M212" s="65" t="str">
        <f ca="1">IF(OR(L212="",L212="fill"),"",MATCH(IF(L212="enumeration",J212&amp;"|"&amp;G212,Design!L212),Elements!N:N,0))</f>
        <v/>
      </c>
      <c r="N212" s="65" t="str">
        <f t="shared" si="51"/>
        <v/>
      </c>
      <c r="O212" s="65" t="str">
        <f ca="1">"Elements!"&amp;INDEX(Elements!H:H,MATCH(Design!J212,Elements!J:J,0))</f>
        <v>Elements!K36:K44</v>
      </c>
      <c r="P212" s="65" t="str">
        <f t="shared" ca="1" si="45"/>
        <v>"</v>
      </c>
      <c r="Q212" s="75" t="str">
        <f t="shared" si="48"/>
        <v/>
      </c>
      <c r="R212" s="5" t="str">
        <f t="shared" si="49"/>
        <v/>
      </c>
      <c r="S212" s="5" t="str">
        <f t="shared" si="47"/>
        <v/>
      </c>
      <c r="T212" s="76" t="str">
        <f t="shared" si="50"/>
        <v/>
      </c>
      <c r="U212" s="5">
        <f t="shared" si="44"/>
        <v>0</v>
      </c>
      <c r="V212" s="5">
        <f t="shared" si="44"/>
        <v>0</v>
      </c>
      <c r="W212" s="77" t="str">
        <f t="shared" si="52"/>
        <v/>
      </c>
      <c r="X212" s="65" t="str">
        <f t="shared" si="53"/>
        <v/>
      </c>
      <c r="Y212" s="78" t="str">
        <f t="shared" si="54"/>
        <v/>
      </c>
      <c r="Z212" s="21"/>
      <c r="AA212" s="138"/>
      <c r="AB212" s="21"/>
    </row>
    <row r="213" spans="1:28" x14ac:dyDescent="0.25">
      <c r="A213" s="21"/>
      <c r="B213" s="18"/>
      <c r="C213" s="85" t="str">
        <f>IF(B213="","",INDEX(Elements!B:B,MATCH(Design!B213,Elements!A:A,0)))</f>
        <v/>
      </c>
      <c r="D213" s="13"/>
      <c r="E213" s="85" t="str">
        <f>IFERROR(IF(D213="","",INDEX(Elements!J:J,MATCH(Design!D213,Elements!I:I,0))),SUBSTITUTE(D213," ",""))</f>
        <v/>
      </c>
      <c r="F213" s="13"/>
      <c r="G213" s="84" t="str">
        <f>IFERROR(IF(F213="","",INDEX(Elements!L:L,MATCH(Design!F213,Elements!K:K,0))),F213)</f>
        <v/>
      </c>
      <c r="H213" s="12"/>
      <c r="I213" s="14"/>
      <c r="J213" s="63" t="str">
        <f t="shared" ca="1" si="43"/>
        <v>columnHeaders</v>
      </c>
      <c r="K213" s="63">
        <f t="shared" ca="1" si="46"/>
        <v>0</v>
      </c>
      <c r="L213" s="63" t="str">
        <f ca="1">IF(K213="fontFamily","fontFamily",IF(K213="fontSize","fontSize",IFERROR(INDEX(Elements!M:M,MATCH(Design!J213&amp;"|"&amp;Design!K213,Elements!N:N,0)),"")))</f>
        <v/>
      </c>
      <c r="M213" s="65" t="str">
        <f ca="1">IF(OR(L213="",L213="fill"),"",MATCH(IF(L213="enumeration",J213&amp;"|"&amp;G213,Design!L213),Elements!N:N,0))</f>
        <v/>
      </c>
      <c r="N213" s="65" t="str">
        <f t="shared" si="51"/>
        <v/>
      </c>
      <c r="O213" s="65" t="str">
        <f ca="1">"Elements!"&amp;INDEX(Elements!H:H,MATCH(Design!J213,Elements!J:J,0))</f>
        <v>Elements!K36:K44</v>
      </c>
      <c r="P213" s="65" t="str">
        <f t="shared" ca="1" si="45"/>
        <v>"</v>
      </c>
      <c r="Q213" s="75" t="str">
        <f t="shared" si="48"/>
        <v/>
      </c>
      <c r="R213" s="5" t="str">
        <f t="shared" si="49"/>
        <v/>
      </c>
      <c r="S213" s="5" t="str">
        <f t="shared" si="47"/>
        <v/>
      </c>
      <c r="T213" s="76" t="str">
        <f t="shared" si="50"/>
        <v/>
      </c>
      <c r="U213" s="5">
        <f t="shared" si="44"/>
        <v>0</v>
      </c>
      <c r="V213" s="5">
        <f t="shared" si="44"/>
        <v>0</v>
      </c>
      <c r="W213" s="77" t="str">
        <f t="shared" si="52"/>
        <v/>
      </c>
      <c r="X213" s="65" t="str">
        <f t="shared" si="53"/>
        <v/>
      </c>
      <c r="Y213" s="78" t="str">
        <f t="shared" si="54"/>
        <v/>
      </c>
      <c r="Z213" s="21"/>
      <c r="AA213" s="138"/>
      <c r="AB213" s="21"/>
    </row>
    <row r="214" spans="1:28" x14ac:dyDescent="0.25">
      <c r="A214" s="21"/>
      <c r="B214" s="18"/>
      <c r="C214" s="85" t="str">
        <f>IF(B214="","",INDEX(Elements!B:B,MATCH(Design!B214,Elements!A:A,0)))</f>
        <v/>
      </c>
      <c r="D214" s="13"/>
      <c r="E214" s="85" t="str">
        <f>IFERROR(IF(D214="","",INDEX(Elements!J:J,MATCH(Design!D214,Elements!I:I,0))),SUBSTITUTE(D214," ",""))</f>
        <v/>
      </c>
      <c r="F214" s="13"/>
      <c r="G214" s="84" t="str">
        <f>IFERROR(IF(F214="","",INDEX(Elements!L:L,MATCH(Design!F214,Elements!K:K,0))),F214)</f>
        <v/>
      </c>
      <c r="H214" s="12"/>
      <c r="I214" s="14"/>
      <c r="J214" s="63" t="str">
        <f t="shared" ca="1" si="43"/>
        <v>columnHeaders</v>
      </c>
      <c r="K214" s="63">
        <f t="shared" ca="1" si="46"/>
        <v>0</v>
      </c>
      <c r="L214" s="63" t="str">
        <f ca="1">IF(K214="fontFamily","fontFamily",IF(K214="fontSize","fontSize",IFERROR(INDEX(Elements!M:M,MATCH(Design!J214&amp;"|"&amp;Design!K214,Elements!N:N,0)),"")))</f>
        <v/>
      </c>
      <c r="M214" s="65" t="str">
        <f ca="1">IF(OR(L214="",L214="fill"),"",MATCH(IF(L214="enumeration",J214&amp;"|"&amp;G214,Design!L214),Elements!N:N,0))</f>
        <v/>
      </c>
      <c r="N214" s="65" t="str">
        <f t="shared" si="51"/>
        <v/>
      </c>
      <c r="O214" s="65" t="str">
        <f ca="1">"Elements!"&amp;INDEX(Elements!H:H,MATCH(Design!J214,Elements!J:J,0))</f>
        <v>Elements!K36:K44</v>
      </c>
      <c r="P214" s="65" t="str">
        <f t="shared" ca="1" si="45"/>
        <v>"</v>
      </c>
      <c r="Q214" s="75" t="str">
        <f t="shared" si="48"/>
        <v/>
      </c>
      <c r="R214" s="5" t="str">
        <f t="shared" si="49"/>
        <v/>
      </c>
      <c r="S214" s="5" t="str">
        <f t="shared" si="47"/>
        <v/>
      </c>
      <c r="T214" s="76" t="str">
        <f t="shared" si="50"/>
        <v/>
      </c>
      <c r="U214" s="5">
        <f t="shared" si="44"/>
        <v>0</v>
      </c>
      <c r="V214" s="5">
        <f t="shared" si="44"/>
        <v>0</v>
      </c>
      <c r="W214" s="77" t="str">
        <f t="shared" si="52"/>
        <v/>
      </c>
      <c r="X214" s="65" t="str">
        <f t="shared" si="53"/>
        <v/>
      </c>
      <c r="Y214" s="78" t="str">
        <f t="shared" si="54"/>
        <v/>
      </c>
      <c r="Z214" s="21"/>
      <c r="AA214" s="138"/>
      <c r="AB214" s="21"/>
    </row>
    <row r="215" spans="1:28" x14ac:dyDescent="0.25">
      <c r="A215" s="21"/>
      <c r="B215" s="18"/>
      <c r="C215" s="85" t="str">
        <f>IF(B215="","",INDEX(Elements!B:B,MATCH(Design!B215,Elements!A:A,0)))</f>
        <v/>
      </c>
      <c r="D215" s="13"/>
      <c r="E215" s="85" t="str">
        <f>IFERROR(IF(D215="","",INDEX(Elements!J:J,MATCH(Design!D215,Elements!I:I,0))),SUBSTITUTE(D215," ",""))</f>
        <v/>
      </c>
      <c r="F215" s="13"/>
      <c r="G215" s="84" t="str">
        <f>IFERROR(IF(F215="","",INDEX(Elements!L:L,MATCH(Design!F215,Elements!K:K,0))),F215)</f>
        <v/>
      </c>
      <c r="H215" s="12"/>
      <c r="I215" s="14"/>
      <c r="J215" s="63" t="str">
        <f t="shared" ref="J215:J278" ca="1" si="55">IF(E215="",INDIRECT("J"&amp;ROW()-1),E215)</f>
        <v>columnHeaders</v>
      </c>
      <c r="K215" s="63">
        <f t="shared" ca="1" si="46"/>
        <v>0</v>
      </c>
      <c r="L215" s="63" t="str">
        <f ca="1">IF(K215="fontFamily","fontFamily",IF(K215="fontSize","fontSize",IFERROR(INDEX(Elements!M:M,MATCH(Design!J215&amp;"|"&amp;Design!K215,Elements!N:N,0)),"")))</f>
        <v/>
      </c>
      <c r="M215" s="65" t="str">
        <f ca="1">IF(OR(L215="",L215="fill"),"",MATCH(IF(L215="enumeration",J215&amp;"|"&amp;G215,Design!L215),Elements!N:N,0))</f>
        <v/>
      </c>
      <c r="N215" s="65" t="str">
        <f t="shared" si="51"/>
        <v/>
      </c>
      <c r="O215" s="65" t="str">
        <f ca="1">"Elements!"&amp;INDEX(Elements!H:H,MATCH(Design!J215,Elements!J:J,0))</f>
        <v>Elements!K36:K44</v>
      </c>
      <c r="P215" s="65" t="str">
        <f t="shared" ca="1" si="45"/>
        <v>"</v>
      </c>
      <c r="Q215" s="75" t="str">
        <f t="shared" si="48"/>
        <v/>
      </c>
      <c r="R215" s="5" t="str">
        <f t="shared" si="49"/>
        <v/>
      </c>
      <c r="S215" s="5" t="str">
        <f t="shared" si="47"/>
        <v/>
      </c>
      <c r="T215" s="76" t="str">
        <f t="shared" si="50"/>
        <v/>
      </c>
      <c r="U215" s="5">
        <f t="shared" si="44"/>
        <v>0</v>
      </c>
      <c r="V215" s="5">
        <f t="shared" ref="V215:V278" si="56">SUMPRODUCT(LEN($T215)-LEN(SUBSTITUTE($T215,V$2,"")))</f>
        <v>0</v>
      </c>
      <c r="W215" s="77" t="str">
        <f t="shared" si="52"/>
        <v/>
      </c>
      <c r="X215" s="65" t="str">
        <f t="shared" si="53"/>
        <v/>
      </c>
      <c r="Y215" s="78" t="str">
        <f t="shared" si="54"/>
        <v/>
      </c>
      <c r="Z215" s="21"/>
      <c r="AA215" s="138"/>
      <c r="AB215" s="21"/>
    </row>
    <row r="216" spans="1:28" x14ac:dyDescent="0.25">
      <c r="A216" s="21"/>
      <c r="B216" s="18"/>
      <c r="C216" s="85" t="str">
        <f>IF(B216="","",INDEX(Elements!B:B,MATCH(Design!B216,Elements!A:A,0)))</f>
        <v/>
      </c>
      <c r="D216" s="13"/>
      <c r="E216" s="85" t="str">
        <f>IFERROR(IF(D216="","",INDEX(Elements!J:J,MATCH(Design!D216,Elements!I:I,0))),SUBSTITUTE(D216," ",""))</f>
        <v/>
      </c>
      <c r="F216" s="13"/>
      <c r="G216" s="84" t="str">
        <f>IFERROR(IF(F216="","",INDEX(Elements!L:L,MATCH(Design!F216,Elements!K:K,0))),F216)</f>
        <v/>
      </c>
      <c r="H216" s="12"/>
      <c r="I216" s="14"/>
      <c r="J216" s="63" t="str">
        <f t="shared" ca="1" si="55"/>
        <v>columnHeaders</v>
      </c>
      <c r="K216" s="63">
        <f t="shared" ca="1" si="46"/>
        <v>0</v>
      </c>
      <c r="L216" s="63" t="str">
        <f ca="1">IF(K216="fontFamily","fontFamily",IF(K216="fontSize","fontSize",IFERROR(INDEX(Elements!M:M,MATCH(Design!J216&amp;"|"&amp;Design!K216,Elements!N:N,0)),"")))</f>
        <v/>
      </c>
      <c r="M216" s="65" t="str">
        <f ca="1">IF(OR(L216="",L216="fill"),"",MATCH(IF(L216="enumeration",J216&amp;"|"&amp;G216,Design!L216),Elements!N:N,0))</f>
        <v/>
      </c>
      <c r="N216" s="65" t="str">
        <f t="shared" si="51"/>
        <v/>
      </c>
      <c r="O216" s="65" t="str">
        <f ca="1">"Elements!"&amp;INDEX(Elements!H:H,MATCH(Design!J216,Elements!J:J,0))</f>
        <v>Elements!K36:K44</v>
      </c>
      <c r="P216" s="65" t="str">
        <f t="shared" ca="1" si="45"/>
        <v>"</v>
      </c>
      <c r="Q216" s="75" t="str">
        <f t="shared" si="48"/>
        <v/>
      </c>
      <c r="R216" s="5" t="str">
        <f t="shared" si="49"/>
        <v/>
      </c>
      <c r="S216" s="5" t="str">
        <f t="shared" si="47"/>
        <v/>
      </c>
      <c r="T216" s="76" t="str">
        <f t="shared" si="50"/>
        <v/>
      </c>
      <c r="U216" s="5">
        <f t="shared" ref="U216:U247" si="57">SUMPRODUCT(LEN($T216)-LEN(SUBSTITUTE($T216,U$2,"")))</f>
        <v>0</v>
      </c>
      <c r="V216" s="5">
        <f t="shared" si="56"/>
        <v>0</v>
      </c>
      <c r="W216" s="77" t="str">
        <f t="shared" si="52"/>
        <v/>
      </c>
      <c r="X216" s="65" t="str">
        <f t="shared" si="53"/>
        <v/>
      </c>
      <c r="Y216" s="78" t="str">
        <f t="shared" si="54"/>
        <v/>
      </c>
      <c r="Z216" s="21"/>
      <c r="AA216" s="138"/>
      <c r="AB216" s="21"/>
    </row>
    <row r="217" spans="1:28" x14ac:dyDescent="0.25">
      <c r="A217" s="21"/>
      <c r="B217" s="18"/>
      <c r="C217" s="85" t="str">
        <f>IF(B217="","",INDEX(Elements!B:B,MATCH(Design!B217,Elements!A:A,0)))</f>
        <v/>
      </c>
      <c r="D217" s="13"/>
      <c r="E217" s="85" t="str">
        <f>IFERROR(IF(D217="","",INDEX(Elements!J:J,MATCH(Design!D217,Elements!I:I,0))),SUBSTITUTE(D217," ",""))</f>
        <v/>
      </c>
      <c r="F217" s="13"/>
      <c r="G217" s="84" t="str">
        <f>IFERROR(IF(F217="","",INDEX(Elements!L:L,MATCH(Design!F217,Elements!K:K,0))),F217)</f>
        <v/>
      </c>
      <c r="H217" s="12"/>
      <c r="I217" s="14"/>
      <c r="J217" s="63" t="str">
        <f t="shared" ca="1" si="55"/>
        <v>columnHeaders</v>
      </c>
      <c r="K217" s="63">
        <f t="shared" ca="1" si="46"/>
        <v>0</v>
      </c>
      <c r="L217" s="63" t="str">
        <f ca="1">IF(K217="fontFamily","fontFamily",IF(K217="fontSize","fontSize",IFERROR(INDEX(Elements!M:M,MATCH(Design!J217&amp;"|"&amp;Design!K217,Elements!N:N,0)),"")))</f>
        <v/>
      </c>
      <c r="M217" s="65" t="str">
        <f ca="1">IF(OR(L217="",L217="fill"),"",MATCH(IF(L217="enumeration",J217&amp;"|"&amp;G217,Design!L217),Elements!N:N,0))</f>
        <v/>
      </c>
      <c r="N217" s="65" t="str">
        <f t="shared" si="51"/>
        <v/>
      </c>
      <c r="O217" s="65" t="str">
        <f ca="1">"Elements!"&amp;INDEX(Elements!H:H,MATCH(Design!J217,Elements!J:J,0))</f>
        <v>Elements!K36:K44</v>
      </c>
      <c r="P217" s="65" t="str">
        <f t="shared" ref="P217:P280" ca="1" si="58">IF(OR(L217="bool",L217="numeric",L217="formatting"),"",CHAR(34))</f>
        <v>"</v>
      </c>
      <c r="Q217" s="75" t="str">
        <f t="shared" si="48"/>
        <v/>
      </c>
      <c r="R217" s="5" t="str">
        <f t="shared" si="49"/>
        <v/>
      </c>
      <c r="S217" s="5" t="str">
        <f t="shared" si="47"/>
        <v/>
      </c>
      <c r="T217" s="76" t="str">
        <f t="shared" si="50"/>
        <v/>
      </c>
      <c r="U217" s="5">
        <f t="shared" si="57"/>
        <v>0</v>
      </c>
      <c r="V217" s="5">
        <f t="shared" si="56"/>
        <v>0</v>
      </c>
      <c r="W217" s="77" t="str">
        <f t="shared" si="52"/>
        <v/>
      </c>
      <c r="X217" s="65" t="str">
        <f t="shared" si="53"/>
        <v/>
      </c>
      <c r="Y217" s="78" t="str">
        <f t="shared" si="54"/>
        <v/>
      </c>
      <c r="Z217" s="21"/>
      <c r="AA217" s="138"/>
      <c r="AB217" s="21"/>
    </row>
    <row r="218" spans="1:28" x14ac:dyDescent="0.25">
      <c r="A218" s="21"/>
      <c r="B218" s="18"/>
      <c r="C218" s="85" t="str">
        <f>IF(B218="","",INDEX(Elements!B:B,MATCH(Design!B218,Elements!A:A,0)))</f>
        <v/>
      </c>
      <c r="D218" s="13"/>
      <c r="E218" s="85" t="str">
        <f>IFERROR(IF(D218="","",INDEX(Elements!J:J,MATCH(Design!D218,Elements!I:I,0))),SUBSTITUTE(D218," ",""))</f>
        <v/>
      </c>
      <c r="F218" s="13"/>
      <c r="G218" s="84" t="str">
        <f>IFERROR(IF(F218="","",INDEX(Elements!L:L,MATCH(Design!F218,Elements!K:K,0))),F218)</f>
        <v/>
      </c>
      <c r="H218" s="12"/>
      <c r="I218" s="14"/>
      <c r="J218" s="63" t="str">
        <f t="shared" ca="1" si="55"/>
        <v>columnHeaders</v>
      </c>
      <c r="K218" s="63">
        <f t="shared" ca="1" si="46"/>
        <v>0</v>
      </c>
      <c r="L218" s="63" t="str">
        <f ca="1">IF(K218="fontFamily","fontFamily",IF(K218="fontSize","fontSize",IFERROR(INDEX(Elements!M:M,MATCH(Design!J218&amp;"|"&amp;Design!K218,Elements!N:N,0)),"")))</f>
        <v/>
      </c>
      <c r="M218" s="65" t="str">
        <f ca="1">IF(OR(L218="",L218="fill"),"",MATCH(IF(L218="enumeration",J218&amp;"|"&amp;G218,Design!L218),Elements!N:N,0))</f>
        <v/>
      </c>
      <c r="N218" s="65" t="str">
        <f t="shared" si="51"/>
        <v/>
      </c>
      <c r="O218" s="65" t="str">
        <f ca="1">"Elements!"&amp;INDEX(Elements!H:H,MATCH(Design!J218,Elements!J:J,0))</f>
        <v>Elements!K36:K44</v>
      </c>
      <c r="P218" s="65" t="str">
        <f t="shared" ca="1" si="58"/>
        <v>"</v>
      </c>
      <c r="Q218" s="75" t="str">
        <f t="shared" si="48"/>
        <v/>
      </c>
      <c r="R218" s="5" t="str">
        <f t="shared" si="49"/>
        <v/>
      </c>
      <c r="S218" s="5" t="str">
        <f t="shared" si="47"/>
        <v/>
      </c>
      <c r="T218" s="76" t="str">
        <f t="shared" si="50"/>
        <v/>
      </c>
      <c r="U218" s="5">
        <f t="shared" si="57"/>
        <v>0</v>
      </c>
      <c r="V218" s="5">
        <f t="shared" si="56"/>
        <v>0</v>
      </c>
      <c r="W218" s="77" t="str">
        <f t="shared" si="52"/>
        <v/>
      </c>
      <c r="X218" s="65" t="str">
        <f t="shared" si="53"/>
        <v/>
      </c>
      <c r="Y218" s="78" t="str">
        <f t="shared" si="54"/>
        <v/>
      </c>
      <c r="Z218" s="21"/>
      <c r="AA218" s="138"/>
      <c r="AB218" s="21"/>
    </row>
    <row r="219" spans="1:28" x14ac:dyDescent="0.25">
      <c r="A219" s="21"/>
      <c r="B219" s="18"/>
      <c r="C219" s="85" t="str">
        <f>IF(B219="","",INDEX(Elements!B:B,MATCH(Design!B219,Elements!A:A,0)))</f>
        <v/>
      </c>
      <c r="D219" s="13"/>
      <c r="E219" s="85" t="str">
        <f>IFERROR(IF(D219="","",INDEX(Elements!J:J,MATCH(Design!D219,Elements!I:I,0))),SUBSTITUTE(D219," ",""))</f>
        <v/>
      </c>
      <c r="F219" s="13"/>
      <c r="G219" s="84" t="str">
        <f>IFERROR(IF(F219="","",INDEX(Elements!L:L,MATCH(Design!F219,Elements!K:K,0))),F219)</f>
        <v/>
      </c>
      <c r="H219" s="12"/>
      <c r="I219" s="14"/>
      <c r="J219" s="63" t="str">
        <f t="shared" ca="1" si="55"/>
        <v>columnHeaders</v>
      </c>
      <c r="K219" s="63">
        <f t="shared" ca="1" si="46"/>
        <v>0</v>
      </c>
      <c r="L219" s="63" t="str">
        <f ca="1">IF(K219="fontFamily","fontFamily",IF(K219="fontSize","fontSize",IFERROR(INDEX(Elements!M:M,MATCH(Design!J219&amp;"|"&amp;Design!K219,Elements!N:N,0)),"")))</f>
        <v/>
      </c>
      <c r="M219" s="65" t="str">
        <f ca="1">IF(OR(L219="",L219="fill"),"",MATCH(IF(L219="enumeration",J219&amp;"|"&amp;G219,Design!L219),Elements!N:N,0))</f>
        <v/>
      </c>
      <c r="N219" s="65" t="str">
        <f t="shared" si="51"/>
        <v/>
      </c>
      <c r="O219" s="65" t="str">
        <f ca="1">"Elements!"&amp;INDEX(Elements!H:H,MATCH(Design!J219,Elements!J:J,0))</f>
        <v>Elements!K36:K44</v>
      </c>
      <c r="P219" s="65" t="str">
        <f t="shared" ca="1" si="58"/>
        <v>"</v>
      </c>
      <c r="Q219" s="75" t="str">
        <f t="shared" si="48"/>
        <v/>
      </c>
      <c r="R219" s="5" t="str">
        <f t="shared" si="49"/>
        <v/>
      </c>
      <c r="S219" s="5" t="str">
        <f t="shared" si="47"/>
        <v/>
      </c>
      <c r="T219" s="76" t="str">
        <f t="shared" si="50"/>
        <v/>
      </c>
      <c r="U219" s="5">
        <f t="shared" si="57"/>
        <v>0</v>
      </c>
      <c r="V219" s="5">
        <f t="shared" si="56"/>
        <v>0</v>
      </c>
      <c r="W219" s="77" t="str">
        <f t="shared" si="52"/>
        <v/>
      </c>
      <c r="X219" s="65" t="str">
        <f t="shared" si="53"/>
        <v/>
      </c>
      <c r="Y219" s="78" t="str">
        <f t="shared" si="54"/>
        <v/>
      </c>
      <c r="Z219" s="21"/>
      <c r="AA219" s="138"/>
      <c r="AB219" s="21"/>
    </row>
    <row r="220" spans="1:28" x14ac:dyDescent="0.25">
      <c r="A220" s="21"/>
      <c r="B220" s="18"/>
      <c r="C220" s="85" t="str">
        <f>IF(B220="","",INDEX(Elements!B:B,MATCH(Design!B220,Elements!A:A,0)))</f>
        <v/>
      </c>
      <c r="D220" s="13"/>
      <c r="E220" s="85" t="str">
        <f>IFERROR(IF(D220="","",INDEX(Elements!J:J,MATCH(Design!D220,Elements!I:I,0))),SUBSTITUTE(D220," ",""))</f>
        <v/>
      </c>
      <c r="F220" s="13"/>
      <c r="G220" s="84" t="str">
        <f>IFERROR(IF(F220="","",INDEX(Elements!L:L,MATCH(Design!F220,Elements!K:K,0))),F220)</f>
        <v/>
      </c>
      <c r="H220" s="12"/>
      <c r="I220" s="14"/>
      <c r="J220" s="63" t="str">
        <f t="shared" ca="1" si="55"/>
        <v>columnHeaders</v>
      </c>
      <c r="K220" s="63">
        <f t="shared" ca="1" si="46"/>
        <v>0</v>
      </c>
      <c r="L220" s="63" t="str">
        <f ca="1">IF(K220="fontFamily","fontFamily",IF(K220="fontSize","fontSize",IFERROR(INDEX(Elements!M:M,MATCH(Design!J220&amp;"|"&amp;Design!K220,Elements!N:N,0)),"")))</f>
        <v/>
      </c>
      <c r="M220" s="65" t="str">
        <f ca="1">IF(OR(L220="",L220="fill"),"",MATCH(IF(L220="enumeration",J220&amp;"|"&amp;G220,Design!L220),Elements!N:N,0))</f>
        <v/>
      </c>
      <c r="N220" s="65" t="str">
        <f t="shared" si="51"/>
        <v/>
      </c>
      <c r="O220" s="65" t="str">
        <f ca="1">"Elements!"&amp;INDEX(Elements!H:H,MATCH(Design!J220,Elements!J:J,0))</f>
        <v>Elements!K36:K44</v>
      </c>
      <c r="P220" s="65" t="str">
        <f t="shared" ca="1" si="58"/>
        <v>"</v>
      </c>
      <c r="Q220" s="75" t="str">
        <f t="shared" si="48"/>
        <v/>
      </c>
      <c r="R220" s="5" t="str">
        <f t="shared" si="49"/>
        <v/>
      </c>
      <c r="S220" s="5" t="str">
        <f t="shared" si="47"/>
        <v/>
      </c>
      <c r="T220" s="76" t="str">
        <f t="shared" si="50"/>
        <v/>
      </c>
      <c r="U220" s="5">
        <f t="shared" si="57"/>
        <v>0</v>
      </c>
      <c r="V220" s="5">
        <f t="shared" si="56"/>
        <v>0</v>
      </c>
      <c r="W220" s="77" t="str">
        <f t="shared" si="52"/>
        <v/>
      </c>
      <c r="X220" s="65" t="str">
        <f t="shared" si="53"/>
        <v/>
      </c>
      <c r="Y220" s="78" t="str">
        <f t="shared" si="54"/>
        <v/>
      </c>
      <c r="Z220" s="21"/>
      <c r="AA220" s="138"/>
      <c r="AB220" s="21"/>
    </row>
    <row r="221" spans="1:28" x14ac:dyDescent="0.25">
      <c r="A221" s="21"/>
      <c r="B221" s="18"/>
      <c r="C221" s="85" t="str">
        <f>IF(B221="","",INDEX(Elements!B:B,MATCH(Design!B221,Elements!A:A,0)))</f>
        <v/>
      </c>
      <c r="D221" s="13"/>
      <c r="E221" s="85" t="str">
        <f>IFERROR(IF(D221="","",INDEX(Elements!J:J,MATCH(Design!D221,Elements!I:I,0))),SUBSTITUTE(D221," ",""))</f>
        <v/>
      </c>
      <c r="F221" s="13"/>
      <c r="G221" s="84" t="str">
        <f>IFERROR(IF(F221="","",INDEX(Elements!L:L,MATCH(Design!F221,Elements!K:K,0))),F221)</f>
        <v/>
      </c>
      <c r="H221" s="12"/>
      <c r="I221" s="14"/>
      <c r="J221" s="63" t="str">
        <f t="shared" ca="1" si="55"/>
        <v>columnHeaders</v>
      </c>
      <c r="K221" s="63">
        <f t="shared" ca="1" si="46"/>
        <v>0</v>
      </c>
      <c r="L221" s="63" t="str">
        <f ca="1">IF(K221="fontFamily","fontFamily",IF(K221="fontSize","fontSize",IFERROR(INDEX(Elements!M:M,MATCH(Design!J221&amp;"|"&amp;Design!K221,Elements!N:N,0)),"")))</f>
        <v/>
      </c>
      <c r="M221" s="65" t="str">
        <f ca="1">IF(OR(L221="",L221="fill"),"",MATCH(IF(L221="enumeration",J221&amp;"|"&amp;G221,Design!L221),Elements!N:N,0))</f>
        <v/>
      </c>
      <c r="N221" s="65" t="str">
        <f t="shared" si="51"/>
        <v/>
      </c>
      <c r="O221" s="65" t="str">
        <f ca="1">"Elements!"&amp;INDEX(Elements!H:H,MATCH(Design!J221,Elements!J:J,0))</f>
        <v>Elements!K36:K44</v>
      </c>
      <c r="P221" s="65" t="str">
        <f t="shared" ca="1" si="58"/>
        <v>"</v>
      </c>
      <c r="Q221" s="75" t="str">
        <f t="shared" si="48"/>
        <v/>
      </c>
      <c r="R221" s="5" t="str">
        <f t="shared" si="49"/>
        <v/>
      </c>
      <c r="S221" s="5" t="str">
        <f t="shared" si="47"/>
        <v/>
      </c>
      <c r="T221" s="76" t="str">
        <f t="shared" si="50"/>
        <v/>
      </c>
      <c r="U221" s="5">
        <f t="shared" si="57"/>
        <v>0</v>
      </c>
      <c r="V221" s="5">
        <f t="shared" si="56"/>
        <v>0</v>
      </c>
      <c r="W221" s="77" t="str">
        <f t="shared" si="52"/>
        <v/>
      </c>
      <c r="X221" s="65" t="str">
        <f t="shared" si="53"/>
        <v/>
      </c>
      <c r="Y221" s="78" t="str">
        <f t="shared" si="54"/>
        <v/>
      </c>
      <c r="Z221" s="21"/>
      <c r="AA221" s="138"/>
      <c r="AB221" s="21"/>
    </row>
    <row r="222" spans="1:28" x14ac:dyDescent="0.25">
      <c r="A222" s="21"/>
      <c r="B222" s="18"/>
      <c r="C222" s="85" t="str">
        <f>IF(B222="","",INDEX(Elements!B:B,MATCH(Design!B222,Elements!A:A,0)))</f>
        <v/>
      </c>
      <c r="D222" s="13"/>
      <c r="E222" s="85" t="str">
        <f>IFERROR(IF(D222="","",INDEX(Elements!J:J,MATCH(Design!D222,Elements!I:I,0))),SUBSTITUTE(D222," ",""))</f>
        <v/>
      </c>
      <c r="F222" s="13"/>
      <c r="G222" s="84" t="str">
        <f>IFERROR(IF(F222="","",INDEX(Elements!L:L,MATCH(Design!F222,Elements!K:K,0))),F222)</f>
        <v/>
      </c>
      <c r="H222" s="12"/>
      <c r="I222" s="14"/>
      <c r="J222" s="63" t="str">
        <f t="shared" ca="1" si="55"/>
        <v>columnHeaders</v>
      </c>
      <c r="K222" s="63">
        <f t="shared" ca="1" si="46"/>
        <v>0</v>
      </c>
      <c r="L222" s="63" t="str">
        <f ca="1">IF(K222="fontFamily","fontFamily",IF(K222="fontSize","fontSize",IFERROR(INDEX(Elements!M:M,MATCH(Design!J222&amp;"|"&amp;Design!K222,Elements!N:N,0)),"")))</f>
        <v/>
      </c>
      <c r="M222" s="65" t="str">
        <f ca="1">IF(OR(L222="",L222="fill"),"",MATCH(IF(L222="enumeration",J222&amp;"|"&amp;G222,Design!L222),Elements!N:N,0))</f>
        <v/>
      </c>
      <c r="N222" s="65" t="str">
        <f t="shared" si="51"/>
        <v/>
      </c>
      <c r="O222" s="65" t="str">
        <f ca="1">"Elements!"&amp;INDEX(Elements!H:H,MATCH(Design!J222,Elements!J:J,0))</f>
        <v>Elements!K36:K44</v>
      </c>
      <c r="P222" s="65" t="str">
        <f t="shared" ca="1" si="58"/>
        <v>"</v>
      </c>
      <c r="Q222" s="75" t="str">
        <f t="shared" si="48"/>
        <v/>
      </c>
      <c r="R222" s="5" t="str">
        <f t="shared" si="49"/>
        <v/>
      </c>
      <c r="S222" s="5" t="str">
        <f t="shared" si="47"/>
        <v/>
      </c>
      <c r="T222" s="76" t="str">
        <f t="shared" si="50"/>
        <v/>
      </c>
      <c r="U222" s="5">
        <f t="shared" si="57"/>
        <v>0</v>
      </c>
      <c r="V222" s="5">
        <f t="shared" si="56"/>
        <v>0</v>
      </c>
      <c r="W222" s="77" t="str">
        <f t="shared" si="52"/>
        <v/>
      </c>
      <c r="X222" s="65" t="str">
        <f t="shared" si="53"/>
        <v/>
      </c>
      <c r="Y222" s="78" t="str">
        <f t="shared" si="54"/>
        <v/>
      </c>
      <c r="Z222" s="21"/>
      <c r="AA222" s="138"/>
      <c r="AB222" s="21"/>
    </row>
    <row r="223" spans="1:28" x14ac:dyDescent="0.25">
      <c r="A223" s="21"/>
      <c r="B223" s="18"/>
      <c r="C223" s="85" t="str">
        <f>IF(B223="","",INDEX(Elements!B:B,MATCH(Design!B223,Elements!A:A,0)))</f>
        <v/>
      </c>
      <c r="D223" s="13"/>
      <c r="E223" s="85" t="str">
        <f>IFERROR(IF(D223="","",INDEX(Elements!J:J,MATCH(Design!D223,Elements!I:I,0))),SUBSTITUTE(D223," ",""))</f>
        <v/>
      </c>
      <c r="F223" s="13"/>
      <c r="G223" s="84" t="str">
        <f>IFERROR(IF(F223="","",INDEX(Elements!L:L,MATCH(Design!F223,Elements!K:K,0))),F223)</f>
        <v/>
      </c>
      <c r="H223" s="12"/>
      <c r="I223" s="14"/>
      <c r="J223" s="63" t="str">
        <f t="shared" ca="1" si="55"/>
        <v>columnHeaders</v>
      </c>
      <c r="K223" s="63">
        <f t="shared" ca="1" si="46"/>
        <v>0</v>
      </c>
      <c r="L223" s="63" t="str">
        <f ca="1">IF(K223="fontFamily","fontFamily",IF(K223="fontSize","fontSize",IFERROR(INDEX(Elements!M:M,MATCH(Design!J223&amp;"|"&amp;Design!K223,Elements!N:N,0)),"")))</f>
        <v/>
      </c>
      <c r="M223" s="65" t="str">
        <f ca="1">IF(OR(L223="",L223="fill"),"",MATCH(IF(L223="enumeration",J223&amp;"|"&amp;G223,Design!L223),Elements!N:N,0))</f>
        <v/>
      </c>
      <c r="N223" s="65" t="str">
        <f t="shared" si="51"/>
        <v/>
      </c>
      <c r="O223" s="65" t="str">
        <f ca="1">"Elements!"&amp;INDEX(Elements!H:H,MATCH(Design!J223,Elements!J:J,0))</f>
        <v>Elements!K36:K44</v>
      </c>
      <c r="P223" s="65" t="str">
        <f t="shared" ca="1" si="58"/>
        <v>"</v>
      </c>
      <c r="Q223" s="75" t="str">
        <f t="shared" si="48"/>
        <v/>
      </c>
      <c r="R223" s="5" t="str">
        <f t="shared" si="49"/>
        <v/>
      </c>
      <c r="S223" s="5" t="str">
        <f t="shared" si="47"/>
        <v/>
      </c>
      <c r="T223" s="76" t="str">
        <f t="shared" si="50"/>
        <v/>
      </c>
      <c r="U223" s="5">
        <f t="shared" si="57"/>
        <v>0</v>
      </c>
      <c r="V223" s="5">
        <f t="shared" si="56"/>
        <v>0</v>
      </c>
      <c r="W223" s="77" t="str">
        <f t="shared" si="52"/>
        <v/>
      </c>
      <c r="X223" s="65" t="str">
        <f t="shared" si="53"/>
        <v/>
      </c>
      <c r="Y223" s="78" t="str">
        <f t="shared" si="54"/>
        <v/>
      </c>
      <c r="Z223" s="21"/>
      <c r="AA223" s="138"/>
      <c r="AB223" s="21"/>
    </row>
    <row r="224" spans="1:28" x14ac:dyDescent="0.25">
      <c r="A224" s="21"/>
      <c r="B224" s="18"/>
      <c r="C224" s="85" t="str">
        <f>IF(B224="","",INDEX(Elements!B:B,MATCH(Design!B224,Elements!A:A,0)))</f>
        <v/>
      </c>
      <c r="D224" s="13"/>
      <c r="E224" s="85" t="str">
        <f>IFERROR(IF(D224="","",INDEX(Elements!J:J,MATCH(Design!D224,Elements!I:I,0))),SUBSTITUTE(D224," ",""))</f>
        <v/>
      </c>
      <c r="F224" s="13"/>
      <c r="G224" s="84" t="str">
        <f>IFERROR(IF(F224="","",INDEX(Elements!L:L,MATCH(Design!F224,Elements!K:K,0))),F224)</f>
        <v/>
      </c>
      <c r="H224" s="12"/>
      <c r="I224" s="14"/>
      <c r="J224" s="63" t="str">
        <f t="shared" ca="1" si="55"/>
        <v>columnHeaders</v>
      </c>
      <c r="K224" s="63">
        <f t="shared" ca="1" si="46"/>
        <v>0</v>
      </c>
      <c r="L224" s="63" t="str">
        <f ca="1">IF(K224="fontFamily","fontFamily",IF(K224="fontSize","fontSize",IFERROR(INDEX(Elements!M:M,MATCH(Design!J224&amp;"|"&amp;Design!K224,Elements!N:N,0)),"")))</f>
        <v/>
      </c>
      <c r="M224" s="65" t="str">
        <f ca="1">IF(OR(L224="",L224="fill"),"",MATCH(IF(L224="enumeration",J224&amp;"|"&amp;G224,Design!L224),Elements!N:N,0))</f>
        <v/>
      </c>
      <c r="N224" s="65" t="str">
        <f t="shared" si="51"/>
        <v/>
      </c>
      <c r="O224" s="65" t="str">
        <f ca="1">"Elements!"&amp;INDEX(Elements!H:H,MATCH(Design!J224,Elements!J:J,0))</f>
        <v>Elements!K36:K44</v>
      </c>
      <c r="P224" s="65" t="str">
        <f t="shared" ca="1" si="58"/>
        <v>"</v>
      </c>
      <c r="Q224" s="75" t="str">
        <f t="shared" si="48"/>
        <v/>
      </c>
      <c r="R224" s="5" t="str">
        <f t="shared" si="49"/>
        <v/>
      </c>
      <c r="S224" s="5" t="str">
        <f t="shared" si="47"/>
        <v/>
      </c>
      <c r="T224" s="76" t="str">
        <f t="shared" si="50"/>
        <v/>
      </c>
      <c r="U224" s="5">
        <f t="shared" si="57"/>
        <v>0</v>
      </c>
      <c r="V224" s="5">
        <f t="shared" si="56"/>
        <v>0</v>
      </c>
      <c r="W224" s="77" t="str">
        <f t="shared" si="52"/>
        <v/>
      </c>
      <c r="X224" s="65" t="str">
        <f t="shared" si="53"/>
        <v/>
      </c>
      <c r="Y224" s="78" t="str">
        <f t="shared" si="54"/>
        <v/>
      </c>
      <c r="Z224" s="21"/>
      <c r="AA224" s="138"/>
      <c r="AB224" s="21"/>
    </row>
    <row r="225" spans="1:28" x14ac:dyDescent="0.25">
      <c r="A225" s="21"/>
      <c r="B225" s="18"/>
      <c r="C225" s="85" t="str">
        <f>IF(B225="","",INDEX(Elements!B:B,MATCH(Design!B225,Elements!A:A,0)))</f>
        <v/>
      </c>
      <c r="D225" s="13"/>
      <c r="E225" s="85" t="str">
        <f>IFERROR(IF(D225="","",INDEX(Elements!J:J,MATCH(Design!D225,Elements!I:I,0))),SUBSTITUTE(D225," ",""))</f>
        <v/>
      </c>
      <c r="F225" s="13"/>
      <c r="G225" s="84" t="str">
        <f>IFERROR(IF(F225="","",INDEX(Elements!L:L,MATCH(Design!F225,Elements!K:K,0))),F225)</f>
        <v/>
      </c>
      <c r="H225" s="12"/>
      <c r="I225" s="14"/>
      <c r="J225" s="63" t="str">
        <f t="shared" ca="1" si="55"/>
        <v>columnHeaders</v>
      </c>
      <c r="K225" s="63">
        <f t="shared" ca="1" si="46"/>
        <v>0</v>
      </c>
      <c r="L225" s="63" t="str">
        <f ca="1">IF(K225="fontFamily","fontFamily",IF(K225="fontSize","fontSize",IFERROR(INDEX(Elements!M:M,MATCH(Design!J225&amp;"|"&amp;Design!K225,Elements!N:N,0)),"")))</f>
        <v/>
      </c>
      <c r="M225" s="65" t="str">
        <f ca="1">IF(OR(L225="",L225="fill"),"",MATCH(IF(L225="enumeration",J225&amp;"|"&amp;G225,Design!L225),Elements!N:N,0))</f>
        <v/>
      </c>
      <c r="N225" s="65" t="str">
        <f t="shared" si="51"/>
        <v/>
      </c>
      <c r="O225" s="65" t="str">
        <f ca="1">"Elements!"&amp;INDEX(Elements!H:H,MATCH(Design!J225,Elements!J:J,0))</f>
        <v>Elements!K36:K44</v>
      </c>
      <c r="P225" s="65" t="str">
        <f t="shared" ca="1" si="58"/>
        <v>"</v>
      </c>
      <c r="Q225" s="75" t="str">
        <f t="shared" si="48"/>
        <v/>
      </c>
      <c r="R225" s="5" t="str">
        <f t="shared" si="49"/>
        <v/>
      </c>
      <c r="S225" s="5" t="str">
        <f t="shared" si="47"/>
        <v/>
      </c>
      <c r="T225" s="76" t="str">
        <f t="shared" si="50"/>
        <v/>
      </c>
      <c r="U225" s="5">
        <f t="shared" si="57"/>
        <v>0</v>
      </c>
      <c r="V225" s="5">
        <f t="shared" si="56"/>
        <v>0</v>
      </c>
      <c r="W225" s="77" t="str">
        <f t="shared" si="52"/>
        <v/>
      </c>
      <c r="X225" s="65" t="str">
        <f t="shared" si="53"/>
        <v/>
      </c>
      <c r="Y225" s="78" t="str">
        <f t="shared" si="54"/>
        <v/>
      </c>
      <c r="Z225" s="21"/>
      <c r="AA225" s="138"/>
      <c r="AB225" s="21"/>
    </row>
    <row r="226" spans="1:28" x14ac:dyDescent="0.25">
      <c r="A226" s="21"/>
      <c r="B226" s="18"/>
      <c r="C226" s="85" t="str">
        <f>IF(B226="","",INDEX(Elements!B:B,MATCH(Design!B226,Elements!A:A,0)))</f>
        <v/>
      </c>
      <c r="D226" s="13"/>
      <c r="E226" s="85" t="str">
        <f>IFERROR(IF(D226="","",INDEX(Elements!J:J,MATCH(Design!D226,Elements!I:I,0))),SUBSTITUTE(D226," ",""))</f>
        <v/>
      </c>
      <c r="F226" s="13"/>
      <c r="G226" s="84" t="str">
        <f>IFERROR(IF(F226="","",INDEX(Elements!L:L,MATCH(Design!F226,Elements!K:K,0))),F226)</f>
        <v/>
      </c>
      <c r="H226" s="12"/>
      <c r="I226" s="14"/>
      <c r="J226" s="63" t="str">
        <f t="shared" ca="1" si="55"/>
        <v>columnHeaders</v>
      </c>
      <c r="K226" s="63">
        <f t="shared" ca="1" si="46"/>
        <v>0</v>
      </c>
      <c r="L226" s="63" t="str">
        <f ca="1">IF(K226="fontFamily","fontFamily",IF(K226="fontSize","fontSize",IFERROR(INDEX(Elements!M:M,MATCH(Design!J226&amp;"|"&amp;Design!K226,Elements!N:N,0)),"")))</f>
        <v/>
      </c>
      <c r="M226" s="65" t="str">
        <f ca="1">IF(OR(L226="",L226="fill"),"",MATCH(IF(L226="enumeration",J226&amp;"|"&amp;G226,Design!L226),Elements!N:N,0))</f>
        <v/>
      </c>
      <c r="N226" s="65" t="str">
        <f t="shared" si="51"/>
        <v/>
      </c>
      <c r="O226" s="65" t="str">
        <f ca="1">"Elements!"&amp;INDEX(Elements!H:H,MATCH(Design!J226,Elements!J:J,0))</f>
        <v>Elements!K36:K44</v>
      </c>
      <c r="P226" s="65" t="str">
        <f t="shared" ca="1" si="58"/>
        <v>"</v>
      </c>
      <c r="Q226" s="75" t="str">
        <f t="shared" si="48"/>
        <v/>
      </c>
      <c r="R226" s="5" t="str">
        <f t="shared" si="49"/>
        <v/>
      </c>
      <c r="S226" s="5" t="str">
        <f t="shared" si="47"/>
        <v/>
      </c>
      <c r="T226" s="76" t="str">
        <f t="shared" si="50"/>
        <v/>
      </c>
      <c r="U226" s="5">
        <f t="shared" si="57"/>
        <v>0</v>
      </c>
      <c r="V226" s="5">
        <f t="shared" si="56"/>
        <v>0</v>
      </c>
      <c r="W226" s="77" t="str">
        <f t="shared" si="52"/>
        <v/>
      </c>
      <c r="X226" s="65" t="str">
        <f t="shared" si="53"/>
        <v/>
      </c>
      <c r="Y226" s="78" t="str">
        <f t="shared" si="54"/>
        <v/>
      </c>
      <c r="Z226" s="21"/>
      <c r="AA226" s="138"/>
      <c r="AB226" s="21"/>
    </row>
    <row r="227" spans="1:28" x14ac:dyDescent="0.25">
      <c r="A227" s="21"/>
      <c r="B227" s="18"/>
      <c r="C227" s="85" t="str">
        <f>IF(B227="","",INDEX(Elements!B:B,MATCH(Design!B227,Elements!A:A,0)))</f>
        <v/>
      </c>
      <c r="D227" s="13"/>
      <c r="E227" s="85" t="str">
        <f>IFERROR(IF(D227="","",INDEX(Elements!J:J,MATCH(Design!D227,Elements!I:I,0))),SUBSTITUTE(D227," ",""))</f>
        <v/>
      </c>
      <c r="F227" s="13"/>
      <c r="G227" s="84" t="str">
        <f>IFERROR(IF(F227="","",INDEX(Elements!L:L,MATCH(Design!F227,Elements!K:K,0))),F227)</f>
        <v/>
      </c>
      <c r="H227" s="12"/>
      <c r="I227" s="14"/>
      <c r="J227" s="63" t="str">
        <f t="shared" ca="1" si="55"/>
        <v>columnHeaders</v>
      </c>
      <c r="K227" s="63">
        <f t="shared" ca="1" si="46"/>
        <v>0</v>
      </c>
      <c r="L227" s="63" t="str">
        <f ca="1">IF(K227="fontFamily","fontFamily",IF(K227="fontSize","fontSize",IFERROR(INDEX(Elements!M:M,MATCH(Design!J227&amp;"|"&amp;Design!K227,Elements!N:N,0)),"")))</f>
        <v/>
      </c>
      <c r="M227" s="65" t="str">
        <f ca="1">IF(OR(L227="",L227="fill"),"",MATCH(IF(L227="enumeration",J227&amp;"|"&amp;G227,Design!L227),Elements!N:N,0))</f>
        <v/>
      </c>
      <c r="N227" s="65" t="str">
        <f t="shared" si="51"/>
        <v/>
      </c>
      <c r="O227" s="65" t="str">
        <f ca="1">"Elements!"&amp;INDEX(Elements!H:H,MATCH(Design!J227,Elements!J:J,0))</f>
        <v>Elements!K36:K44</v>
      </c>
      <c r="P227" s="65" t="str">
        <f t="shared" ca="1" si="58"/>
        <v>"</v>
      </c>
      <c r="Q227" s="75" t="str">
        <f t="shared" si="48"/>
        <v/>
      </c>
      <c r="R227" s="5" t="str">
        <f t="shared" si="49"/>
        <v/>
      </c>
      <c r="S227" s="5" t="str">
        <f t="shared" si="47"/>
        <v/>
      </c>
      <c r="T227" s="76" t="str">
        <f t="shared" si="50"/>
        <v/>
      </c>
      <c r="U227" s="5">
        <f t="shared" si="57"/>
        <v>0</v>
      </c>
      <c r="V227" s="5">
        <f t="shared" si="56"/>
        <v>0</v>
      </c>
      <c r="W227" s="77" t="str">
        <f t="shared" si="52"/>
        <v/>
      </c>
      <c r="X227" s="65" t="str">
        <f t="shared" si="53"/>
        <v/>
      </c>
      <c r="Y227" s="78" t="str">
        <f t="shared" si="54"/>
        <v/>
      </c>
      <c r="Z227" s="21"/>
      <c r="AA227" s="138"/>
      <c r="AB227" s="21"/>
    </row>
    <row r="228" spans="1:28" x14ac:dyDescent="0.25">
      <c r="A228" s="21"/>
      <c r="B228" s="18"/>
      <c r="C228" s="85" t="str">
        <f>IF(B228="","",INDEX(Elements!B:B,MATCH(Design!B228,Elements!A:A,0)))</f>
        <v/>
      </c>
      <c r="D228" s="13"/>
      <c r="E228" s="85" t="str">
        <f>IFERROR(IF(D228="","",INDEX(Elements!J:J,MATCH(Design!D228,Elements!I:I,0))),SUBSTITUTE(D228," ",""))</f>
        <v/>
      </c>
      <c r="F228" s="13"/>
      <c r="G228" s="84" t="str">
        <f>IFERROR(IF(F228="","",INDEX(Elements!L:L,MATCH(Design!F228,Elements!K:K,0))),F228)</f>
        <v/>
      </c>
      <c r="H228" s="12"/>
      <c r="I228" s="14"/>
      <c r="J228" s="63" t="str">
        <f t="shared" ca="1" si="55"/>
        <v>columnHeaders</v>
      </c>
      <c r="K228" s="63">
        <f t="shared" ca="1" si="46"/>
        <v>0</v>
      </c>
      <c r="L228" s="63" t="str">
        <f ca="1">IF(K228="fontFamily","fontFamily",IF(K228="fontSize","fontSize",IFERROR(INDEX(Elements!M:M,MATCH(Design!J228&amp;"|"&amp;Design!K228,Elements!N:N,0)),"")))</f>
        <v/>
      </c>
      <c r="M228" s="65" t="str">
        <f ca="1">IF(OR(L228="",L228="fill"),"",MATCH(IF(L228="enumeration",J228&amp;"|"&amp;G228,Design!L228),Elements!N:N,0))</f>
        <v/>
      </c>
      <c r="N228" s="65" t="str">
        <f t="shared" si="51"/>
        <v/>
      </c>
      <c r="O228" s="65" t="str">
        <f ca="1">"Elements!"&amp;INDEX(Elements!H:H,MATCH(Design!J228,Elements!J:J,0))</f>
        <v>Elements!K36:K44</v>
      </c>
      <c r="P228" s="65" t="str">
        <f t="shared" ca="1" si="58"/>
        <v>"</v>
      </c>
      <c r="Q228" s="75" t="str">
        <f t="shared" si="48"/>
        <v/>
      </c>
      <c r="R228" s="5" t="str">
        <f t="shared" si="49"/>
        <v/>
      </c>
      <c r="S228" s="5" t="str">
        <f t="shared" si="47"/>
        <v/>
      </c>
      <c r="T228" s="76" t="str">
        <f t="shared" si="50"/>
        <v/>
      </c>
      <c r="U228" s="5">
        <f t="shared" si="57"/>
        <v>0</v>
      </c>
      <c r="V228" s="5">
        <f t="shared" si="56"/>
        <v>0</v>
      </c>
      <c r="W228" s="77" t="str">
        <f t="shared" si="52"/>
        <v/>
      </c>
      <c r="X228" s="65" t="str">
        <f t="shared" si="53"/>
        <v/>
      </c>
      <c r="Y228" s="78" t="str">
        <f t="shared" si="54"/>
        <v/>
      </c>
      <c r="Z228" s="21"/>
      <c r="AA228" s="138"/>
      <c r="AB228" s="21"/>
    </row>
    <row r="229" spans="1:28" x14ac:dyDescent="0.25">
      <c r="A229" s="21"/>
      <c r="B229" s="18"/>
      <c r="C229" s="85" t="str">
        <f>IF(B229="","",INDEX(Elements!B:B,MATCH(Design!B229,Elements!A:A,0)))</f>
        <v/>
      </c>
      <c r="D229" s="13"/>
      <c r="E229" s="85" t="str">
        <f>IFERROR(IF(D229="","",INDEX(Elements!J:J,MATCH(Design!D229,Elements!I:I,0))),SUBSTITUTE(D229," ",""))</f>
        <v/>
      </c>
      <c r="F229" s="13"/>
      <c r="G229" s="84" t="str">
        <f>IFERROR(IF(F229="","",INDEX(Elements!L:L,MATCH(Design!F229,Elements!K:K,0))),F229)</f>
        <v/>
      </c>
      <c r="H229" s="12"/>
      <c r="I229" s="14"/>
      <c r="J229" s="63" t="str">
        <f t="shared" ca="1" si="55"/>
        <v>columnHeaders</v>
      </c>
      <c r="K229" s="63">
        <f t="shared" ca="1" si="46"/>
        <v>0</v>
      </c>
      <c r="L229" s="63" t="str">
        <f ca="1">IF(K229="fontFamily","fontFamily",IF(K229="fontSize","fontSize",IFERROR(INDEX(Elements!M:M,MATCH(Design!J229&amp;"|"&amp;Design!K229,Elements!N:N,0)),"")))</f>
        <v/>
      </c>
      <c r="M229" s="65" t="str">
        <f ca="1">IF(OR(L229="",L229="fill"),"",MATCH(IF(L229="enumeration",J229&amp;"|"&amp;G229,Design!L229),Elements!N:N,0))</f>
        <v/>
      </c>
      <c r="N229" s="65" t="str">
        <f t="shared" si="51"/>
        <v/>
      </c>
      <c r="O229" s="65" t="str">
        <f ca="1">"Elements!"&amp;INDEX(Elements!H:H,MATCH(Design!J229,Elements!J:J,0))</f>
        <v>Elements!K36:K44</v>
      </c>
      <c r="P229" s="65" t="str">
        <f t="shared" ca="1" si="58"/>
        <v>"</v>
      </c>
      <c r="Q229" s="75" t="str">
        <f t="shared" si="48"/>
        <v/>
      </c>
      <c r="R229" s="5" t="str">
        <f t="shared" si="49"/>
        <v/>
      </c>
      <c r="S229" s="5" t="str">
        <f t="shared" si="47"/>
        <v/>
      </c>
      <c r="T229" s="76" t="str">
        <f t="shared" si="50"/>
        <v/>
      </c>
      <c r="U229" s="5">
        <f t="shared" si="57"/>
        <v>0</v>
      </c>
      <c r="V229" s="5">
        <f t="shared" si="56"/>
        <v>0</v>
      </c>
      <c r="W229" s="77" t="str">
        <f t="shared" si="52"/>
        <v/>
      </c>
      <c r="X229" s="65" t="str">
        <f t="shared" si="53"/>
        <v/>
      </c>
      <c r="Y229" s="78" t="str">
        <f t="shared" si="54"/>
        <v/>
      </c>
      <c r="Z229" s="21"/>
      <c r="AA229" s="138"/>
      <c r="AB229" s="21"/>
    </row>
    <row r="230" spans="1:28" x14ac:dyDescent="0.25">
      <c r="A230" s="21"/>
      <c r="B230" s="18"/>
      <c r="C230" s="85" t="str">
        <f>IF(B230="","",INDEX(Elements!B:B,MATCH(Design!B230,Elements!A:A,0)))</f>
        <v/>
      </c>
      <c r="D230" s="13"/>
      <c r="E230" s="85" t="str">
        <f>IFERROR(IF(D230="","",INDEX(Elements!J:J,MATCH(Design!D230,Elements!I:I,0))),SUBSTITUTE(D230," ",""))</f>
        <v/>
      </c>
      <c r="F230" s="13"/>
      <c r="G230" s="84" t="str">
        <f>IFERROR(IF(F230="","",INDEX(Elements!L:L,MATCH(Design!F230,Elements!K:K,0))),F230)</f>
        <v/>
      </c>
      <c r="H230" s="12"/>
      <c r="I230" s="14"/>
      <c r="J230" s="63" t="str">
        <f t="shared" ca="1" si="55"/>
        <v>columnHeaders</v>
      </c>
      <c r="K230" s="63">
        <f t="shared" ca="1" si="46"/>
        <v>0</v>
      </c>
      <c r="L230" s="63" t="str">
        <f ca="1">IF(K230="fontFamily","fontFamily",IF(K230="fontSize","fontSize",IFERROR(INDEX(Elements!M:M,MATCH(Design!J230&amp;"|"&amp;Design!K230,Elements!N:N,0)),"")))</f>
        <v/>
      </c>
      <c r="M230" s="65" t="str">
        <f ca="1">IF(OR(L230="",L230="fill"),"",MATCH(IF(L230="enumeration",J230&amp;"|"&amp;G230,Design!L230),Elements!N:N,0))</f>
        <v/>
      </c>
      <c r="N230" s="65" t="str">
        <f t="shared" si="51"/>
        <v/>
      </c>
      <c r="O230" s="65" t="str">
        <f ca="1">"Elements!"&amp;INDEX(Elements!H:H,MATCH(Design!J230,Elements!J:J,0))</f>
        <v>Elements!K36:K44</v>
      </c>
      <c r="P230" s="65" t="str">
        <f t="shared" ca="1" si="58"/>
        <v>"</v>
      </c>
      <c r="Q230" s="75" t="str">
        <f t="shared" si="48"/>
        <v/>
      </c>
      <c r="R230" s="5" t="str">
        <f t="shared" si="49"/>
        <v/>
      </c>
      <c r="S230" s="5" t="str">
        <f t="shared" si="47"/>
        <v/>
      </c>
      <c r="T230" s="76" t="str">
        <f t="shared" si="50"/>
        <v/>
      </c>
      <c r="U230" s="5">
        <f t="shared" si="57"/>
        <v>0</v>
      </c>
      <c r="V230" s="5">
        <f t="shared" si="56"/>
        <v>0</v>
      </c>
      <c r="W230" s="77" t="str">
        <f t="shared" si="52"/>
        <v/>
      </c>
      <c r="X230" s="65" t="str">
        <f t="shared" si="53"/>
        <v/>
      </c>
      <c r="Y230" s="78" t="str">
        <f t="shared" si="54"/>
        <v/>
      </c>
      <c r="Z230" s="21"/>
      <c r="AA230" s="138"/>
      <c r="AB230" s="21"/>
    </row>
    <row r="231" spans="1:28" x14ac:dyDescent="0.25">
      <c r="A231" s="21"/>
      <c r="B231" s="18"/>
      <c r="C231" s="85" t="str">
        <f>IF(B231="","",INDEX(Elements!B:B,MATCH(Design!B231,Elements!A:A,0)))</f>
        <v/>
      </c>
      <c r="D231" s="13"/>
      <c r="E231" s="85" t="str">
        <f>IFERROR(IF(D231="","",INDEX(Elements!J:J,MATCH(Design!D231,Elements!I:I,0))),SUBSTITUTE(D231," ",""))</f>
        <v/>
      </c>
      <c r="F231" s="13"/>
      <c r="G231" s="84" t="str">
        <f>IFERROR(IF(F231="","",INDEX(Elements!L:L,MATCH(Design!F231,Elements!K:K,0))),F231)</f>
        <v/>
      </c>
      <c r="H231" s="12"/>
      <c r="I231" s="14"/>
      <c r="J231" s="63" t="str">
        <f t="shared" ca="1" si="55"/>
        <v>columnHeaders</v>
      </c>
      <c r="K231" s="63">
        <f t="shared" ca="1" si="46"/>
        <v>0</v>
      </c>
      <c r="L231" s="63" t="str">
        <f ca="1">IF(K231="fontFamily","fontFamily",IF(K231="fontSize","fontSize",IFERROR(INDEX(Elements!M:M,MATCH(Design!J231&amp;"|"&amp;Design!K231,Elements!N:N,0)),"")))</f>
        <v/>
      </c>
      <c r="M231" s="65" t="str">
        <f ca="1">IF(OR(L231="",L231="fill"),"",MATCH(IF(L231="enumeration",J231&amp;"|"&amp;G231,Design!L231),Elements!N:N,0))</f>
        <v/>
      </c>
      <c r="N231" s="65" t="str">
        <f t="shared" si="51"/>
        <v/>
      </c>
      <c r="O231" s="65" t="str">
        <f ca="1">"Elements!"&amp;INDEX(Elements!H:H,MATCH(Design!J231,Elements!J:J,0))</f>
        <v>Elements!K36:K44</v>
      </c>
      <c r="P231" s="65" t="str">
        <f t="shared" ca="1" si="58"/>
        <v>"</v>
      </c>
      <c r="Q231" s="75" t="str">
        <f t="shared" si="48"/>
        <v/>
      </c>
      <c r="R231" s="5" t="str">
        <f t="shared" si="49"/>
        <v/>
      </c>
      <c r="S231" s="5" t="str">
        <f t="shared" si="47"/>
        <v/>
      </c>
      <c r="T231" s="76" t="str">
        <f t="shared" si="50"/>
        <v/>
      </c>
      <c r="U231" s="5">
        <f t="shared" si="57"/>
        <v>0</v>
      </c>
      <c r="V231" s="5">
        <f t="shared" si="56"/>
        <v>0</v>
      </c>
      <c r="W231" s="77" t="str">
        <f t="shared" si="52"/>
        <v/>
      </c>
      <c r="X231" s="65" t="str">
        <f t="shared" si="53"/>
        <v/>
      </c>
      <c r="Y231" s="78" t="str">
        <f t="shared" si="54"/>
        <v/>
      </c>
      <c r="Z231" s="21"/>
      <c r="AA231" s="138"/>
      <c r="AB231" s="21"/>
    </row>
    <row r="232" spans="1:28" x14ac:dyDescent="0.25">
      <c r="A232" s="21"/>
      <c r="B232" s="18"/>
      <c r="C232" s="85" t="str">
        <f>IF(B232="","",INDEX(Elements!B:B,MATCH(Design!B232,Elements!A:A,0)))</f>
        <v/>
      </c>
      <c r="D232" s="13"/>
      <c r="E232" s="85" t="str">
        <f>IFERROR(IF(D232="","",INDEX(Elements!J:J,MATCH(Design!D232,Elements!I:I,0))),SUBSTITUTE(D232," ",""))</f>
        <v/>
      </c>
      <c r="F232" s="13"/>
      <c r="G232" s="84" t="str">
        <f>IFERROR(IF(F232="","",INDEX(Elements!L:L,MATCH(Design!F232,Elements!K:K,0))),F232)</f>
        <v/>
      </c>
      <c r="H232" s="12"/>
      <c r="I232" s="14"/>
      <c r="J232" s="63" t="str">
        <f t="shared" ca="1" si="55"/>
        <v>columnHeaders</v>
      </c>
      <c r="K232" s="63">
        <f t="shared" ca="1" si="46"/>
        <v>0</v>
      </c>
      <c r="L232" s="63" t="str">
        <f ca="1">IF(K232="fontFamily","fontFamily",IF(K232="fontSize","fontSize",IFERROR(INDEX(Elements!M:M,MATCH(Design!J232&amp;"|"&amp;Design!K232,Elements!N:N,0)),"")))</f>
        <v/>
      </c>
      <c r="M232" s="65" t="str">
        <f ca="1">IF(OR(L232="",L232="fill"),"",MATCH(IF(L232="enumeration",J232&amp;"|"&amp;G232,Design!L232),Elements!N:N,0))</f>
        <v/>
      </c>
      <c r="N232" s="65" t="str">
        <f t="shared" si="51"/>
        <v/>
      </c>
      <c r="O232" s="65" t="str">
        <f ca="1">"Elements!"&amp;INDEX(Elements!H:H,MATCH(Design!J232,Elements!J:J,0))</f>
        <v>Elements!K36:K44</v>
      </c>
      <c r="P232" s="65" t="str">
        <f t="shared" ca="1" si="58"/>
        <v>"</v>
      </c>
      <c r="Q232" s="75" t="str">
        <f t="shared" si="48"/>
        <v/>
      </c>
      <c r="R232" s="5" t="str">
        <f t="shared" si="49"/>
        <v/>
      </c>
      <c r="S232" s="5" t="str">
        <f t="shared" si="47"/>
        <v/>
      </c>
      <c r="T232" s="76" t="str">
        <f t="shared" si="50"/>
        <v/>
      </c>
      <c r="U232" s="5">
        <f t="shared" si="57"/>
        <v>0</v>
      </c>
      <c r="V232" s="5">
        <f t="shared" si="56"/>
        <v>0</v>
      </c>
      <c r="W232" s="77" t="str">
        <f t="shared" si="52"/>
        <v/>
      </c>
      <c r="X232" s="65" t="str">
        <f t="shared" si="53"/>
        <v/>
      </c>
      <c r="Y232" s="78" t="str">
        <f t="shared" si="54"/>
        <v/>
      </c>
      <c r="Z232" s="21"/>
      <c r="AA232" s="138"/>
      <c r="AB232" s="21"/>
    </row>
    <row r="233" spans="1:28" x14ac:dyDescent="0.25">
      <c r="A233" s="21"/>
      <c r="B233" s="18"/>
      <c r="C233" s="85" t="str">
        <f>IF(B233="","",INDEX(Elements!B:B,MATCH(Design!B233,Elements!A:A,0)))</f>
        <v/>
      </c>
      <c r="D233" s="13"/>
      <c r="E233" s="85" t="str">
        <f>IFERROR(IF(D233="","",INDEX(Elements!J:J,MATCH(Design!D233,Elements!I:I,0))),SUBSTITUTE(D233," ",""))</f>
        <v/>
      </c>
      <c r="F233" s="13"/>
      <c r="G233" s="84" t="str">
        <f>IFERROR(IF(F233="","",INDEX(Elements!L:L,MATCH(Design!F233,Elements!K:K,0))),F233)</f>
        <v/>
      </c>
      <c r="H233" s="12"/>
      <c r="I233" s="14"/>
      <c r="J233" s="63" t="str">
        <f t="shared" ca="1" si="55"/>
        <v>columnHeaders</v>
      </c>
      <c r="K233" s="63">
        <f t="shared" ca="1" si="46"/>
        <v>0</v>
      </c>
      <c r="L233" s="63" t="str">
        <f ca="1">IF(K233="fontFamily","fontFamily",IF(K233="fontSize","fontSize",IFERROR(INDEX(Elements!M:M,MATCH(Design!J233&amp;"|"&amp;Design!K233,Elements!N:N,0)),"")))</f>
        <v/>
      </c>
      <c r="M233" s="65" t="str">
        <f ca="1">IF(OR(L233="",L233="fill"),"",MATCH(IF(L233="enumeration",J233&amp;"|"&amp;G233,Design!L233),Elements!N:N,0))</f>
        <v/>
      </c>
      <c r="N233" s="65" t="str">
        <f t="shared" si="51"/>
        <v/>
      </c>
      <c r="O233" s="65" t="str">
        <f ca="1">"Elements!"&amp;INDEX(Elements!H:H,MATCH(Design!J233,Elements!J:J,0))</f>
        <v>Elements!K36:K44</v>
      </c>
      <c r="P233" s="65" t="str">
        <f t="shared" ca="1" si="58"/>
        <v>"</v>
      </c>
      <c r="Q233" s="75" t="str">
        <f t="shared" si="48"/>
        <v/>
      </c>
      <c r="R233" s="5" t="str">
        <f t="shared" si="49"/>
        <v/>
      </c>
      <c r="S233" s="5" t="str">
        <f t="shared" si="47"/>
        <v/>
      </c>
      <c r="T233" s="76" t="str">
        <f t="shared" si="50"/>
        <v/>
      </c>
      <c r="U233" s="5">
        <f t="shared" si="57"/>
        <v>0</v>
      </c>
      <c r="V233" s="5">
        <f t="shared" si="56"/>
        <v>0</v>
      </c>
      <c r="W233" s="77" t="str">
        <f t="shared" si="52"/>
        <v/>
      </c>
      <c r="X233" s="65" t="str">
        <f t="shared" si="53"/>
        <v/>
      </c>
      <c r="Y233" s="78" t="str">
        <f t="shared" si="54"/>
        <v/>
      </c>
      <c r="Z233" s="21"/>
      <c r="AA233" s="138"/>
      <c r="AB233" s="21"/>
    </row>
    <row r="234" spans="1:28" x14ac:dyDescent="0.25">
      <c r="A234" s="21"/>
      <c r="B234" s="18"/>
      <c r="C234" s="85" t="str">
        <f>IF(B234="","",INDEX(Elements!B:B,MATCH(Design!B234,Elements!A:A,0)))</f>
        <v/>
      </c>
      <c r="D234" s="13"/>
      <c r="E234" s="85" t="str">
        <f>IFERROR(IF(D234="","",INDEX(Elements!J:J,MATCH(Design!D234,Elements!I:I,0))),SUBSTITUTE(D234," ",""))</f>
        <v/>
      </c>
      <c r="F234" s="13"/>
      <c r="G234" s="84" t="str">
        <f>IFERROR(IF(F234="","",INDEX(Elements!L:L,MATCH(Design!F234,Elements!K:K,0))),F234)</f>
        <v/>
      </c>
      <c r="H234" s="12"/>
      <c r="I234" s="14"/>
      <c r="J234" s="63" t="str">
        <f t="shared" ca="1" si="55"/>
        <v>columnHeaders</v>
      </c>
      <c r="K234" s="63">
        <f t="shared" ca="1" si="46"/>
        <v>0</v>
      </c>
      <c r="L234" s="63" t="str">
        <f ca="1">IF(K234="fontFamily","fontFamily",IF(K234="fontSize","fontSize",IFERROR(INDEX(Elements!M:M,MATCH(Design!J234&amp;"|"&amp;Design!K234,Elements!N:N,0)),"")))</f>
        <v/>
      </c>
      <c r="M234" s="65" t="str">
        <f ca="1">IF(OR(L234="",L234="fill"),"",MATCH(IF(L234="enumeration",J234&amp;"|"&amp;G234,Design!L234),Elements!N:N,0))</f>
        <v/>
      </c>
      <c r="N234" s="65" t="str">
        <f t="shared" si="51"/>
        <v/>
      </c>
      <c r="O234" s="65" t="str">
        <f ca="1">"Elements!"&amp;INDEX(Elements!H:H,MATCH(Design!J234,Elements!J:J,0))</f>
        <v>Elements!K36:K44</v>
      </c>
      <c r="P234" s="65" t="str">
        <f t="shared" ca="1" si="58"/>
        <v>"</v>
      </c>
      <c r="Q234" s="75" t="str">
        <f t="shared" si="48"/>
        <v/>
      </c>
      <c r="R234" s="5" t="str">
        <f t="shared" si="49"/>
        <v/>
      </c>
      <c r="S234" s="5" t="str">
        <f t="shared" si="47"/>
        <v/>
      </c>
      <c r="T234" s="76" t="str">
        <f t="shared" si="50"/>
        <v/>
      </c>
      <c r="U234" s="5">
        <f t="shared" si="57"/>
        <v>0</v>
      </c>
      <c r="V234" s="5">
        <f t="shared" si="56"/>
        <v>0</v>
      </c>
      <c r="W234" s="77" t="str">
        <f t="shared" si="52"/>
        <v/>
      </c>
      <c r="X234" s="65" t="str">
        <f t="shared" si="53"/>
        <v/>
      </c>
      <c r="Y234" s="78" t="str">
        <f t="shared" si="54"/>
        <v/>
      </c>
      <c r="Z234" s="21"/>
      <c r="AA234" s="138"/>
      <c r="AB234" s="21"/>
    </row>
    <row r="235" spans="1:28" x14ac:dyDescent="0.25">
      <c r="A235" s="21"/>
      <c r="B235" s="18"/>
      <c r="C235" s="85" t="str">
        <f>IF(B235="","",INDEX(Elements!B:B,MATCH(Design!B235,Elements!A:A,0)))</f>
        <v/>
      </c>
      <c r="D235" s="13"/>
      <c r="E235" s="85" t="str">
        <f>IFERROR(IF(D235="","",INDEX(Elements!J:J,MATCH(Design!D235,Elements!I:I,0))),SUBSTITUTE(D235," ",""))</f>
        <v/>
      </c>
      <c r="F235" s="13"/>
      <c r="G235" s="84" t="str">
        <f>IFERROR(IF(F235="","",INDEX(Elements!L:L,MATCH(Design!F235,Elements!K:K,0))),F235)</f>
        <v/>
      </c>
      <c r="H235" s="12"/>
      <c r="I235" s="14"/>
      <c r="J235" s="63" t="str">
        <f t="shared" ca="1" si="55"/>
        <v>columnHeaders</v>
      </c>
      <c r="K235" s="63">
        <f t="shared" ca="1" si="46"/>
        <v>0</v>
      </c>
      <c r="L235" s="63" t="str">
        <f ca="1">IF(K235="fontFamily","fontFamily",IF(K235="fontSize","fontSize",IFERROR(INDEX(Elements!M:M,MATCH(Design!J235&amp;"|"&amp;Design!K235,Elements!N:N,0)),"")))</f>
        <v/>
      </c>
      <c r="M235" s="65" t="str">
        <f ca="1">IF(OR(L235="",L235="fill"),"",MATCH(IF(L235="enumeration",J235&amp;"|"&amp;G235,Design!L235),Elements!N:N,0))</f>
        <v/>
      </c>
      <c r="N235" s="65" t="str">
        <f t="shared" si="51"/>
        <v/>
      </c>
      <c r="O235" s="65" t="str">
        <f ca="1">"Elements!"&amp;INDEX(Elements!H:H,MATCH(Design!J235,Elements!J:J,0))</f>
        <v>Elements!K36:K44</v>
      </c>
      <c r="P235" s="65" t="str">
        <f t="shared" ca="1" si="58"/>
        <v>"</v>
      </c>
      <c r="Q235" s="75" t="str">
        <f t="shared" si="48"/>
        <v/>
      </c>
      <c r="R235" s="5" t="str">
        <f t="shared" si="49"/>
        <v/>
      </c>
      <c r="S235" s="5" t="str">
        <f t="shared" si="47"/>
        <v/>
      </c>
      <c r="T235" s="76" t="str">
        <f t="shared" si="50"/>
        <v/>
      </c>
      <c r="U235" s="5">
        <f t="shared" si="57"/>
        <v>0</v>
      </c>
      <c r="V235" s="5">
        <f t="shared" si="56"/>
        <v>0</v>
      </c>
      <c r="W235" s="77" t="str">
        <f t="shared" si="52"/>
        <v/>
      </c>
      <c r="X235" s="65" t="str">
        <f t="shared" si="53"/>
        <v/>
      </c>
      <c r="Y235" s="78" t="str">
        <f t="shared" si="54"/>
        <v/>
      </c>
      <c r="Z235" s="21"/>
      <c r="AA235" s="138"/>
      <c r="AB235" s="21"/>
    </row>
    <row r="236" spans="1:28" x14ac:dyDescent="0.25">
      <c r="A236" s="21"/>
      <c r="B236" s="18"/>
      <c r="C236" s="85" t="str">
        <f>IF(B236="","",INDEX(Elements!B:B,MATCH(Design!B236,Elements!A:A,0)))</f>
        <v/>
      </c>
      <c r="D236" s="13"/>
      <c r="E236" s="85" t="str">
        <f>IFERROR(IF(D236="","",INDEX(Elements!J:J,MATCH(Design!D236,Elements!I:I,0))),SUBSTITUTE(D236," ",""))</f>
        <v/>
      </c>
      <c r="F236" s="13"/>
      <c r="G236" s="84" t="str">
        <f>IFERROR(IF(F236="","",INDEX(Elements!L:L,MATCH(Design!F236,Elements!K:K,0))),F236)</f>
        <v/>
      </c>
      <c r="H236" s="12"/>
      <c r="I236" s="14"/>
      <c r="J236" s="63" t="str">
        <f t="shared" ca="1" si="55"/>
        <v>columnHeaders</v>
      </c>
      <c r="K236" s="63">
        <f t="shared" ca="1" si="46"/>
        <v>0</v>
      </c>
      <c r="L236" s="63" t="str">
        <f ca="1">IF(K236="fontFamily","fontFamily",IF(K236="fontSize","fontSize",IFERROR(INDEX(Elements!M:M,MATCH(Design!J236&amp;"|"&amp;Design!K236,Elements!N:N,0)),"")))</f>
        <v/>
      </c>
      <c r="M236" s="65" t="str">
        <f ca="1">IF(OR(L236="",L236="fill"),"",MATCH(IF(L236="enumeration",J236&amp;"|"&amp;G236,Design!L236),Elements!N:N,0))</f>
        <v/>
      </c>
      <c r="N236" s="65" t="str">
        <f t="shared" si="51"/>
        <v/>
      </c>
      <c r="O236" s="65" t="str">
        <f ca="1">"Elements!"&amp;INDEX(Elements!H:H,MATCH(Design!J236,Elements!J:J,0))</f>
        <v>Elements!K36:K44</v>
      </c>
      <c r="P236" s="65" t="str">
        <f t="shared" ca="1" si="58"/>
        <v>"</v>
      </c>
      <c r="Q236" s="75" t="str">
        <f t="shared" si="48"/>
        <v/>
      </c>
      <c r="R236" s="5" t="str">
        <f t="shared" si="49"/>
        <v/>
      </c>
      <c r="S236" s="5" t="str">
        <f t="shared" si="47"/>
        <v/>
      </c>
      <c r="T236" s="76" t="str">
        <f t="shared" si="50"/>
        <v/>
      </c>
      <c r="U236" s="5">
        <f t="shared" si="57"/>
        <v>0</v>
      </c>
      <c r="V236" s="5">
        <f t="shared" si="56"/>
        <v>0</v>
      </c>
      <c r="W236" s="77" t="str">
        <f t="shared" si="52"/>
        <v/>
      </c>
      <c r="X236" s="65" t="str">
        <f t="shared" si="53"/>
        <v/>
      </c>
      <c r="Y236" s="78" t="str">
        <f t="shared" si="54"/>
        <v/>
      </c>
      <c r="Z236" s="21"/>
      <c r="AA236" s="138"/>
      <c r="AB236" s="21"/>
    </row>
    <row r="237" spans="1:28" x14ac:dyDescent="0.25">
      <c r="A237" s="21"/>
      <c r="B237" s="18"/>
      <c r="C237" s="85" t="str">
        <f>IF(B237="","",INDEX(Elements!B:B,MATCH(Design!B237,Elements!A:A,0)))</f>
        <v/>
      </c>
      <c r="D237" s="13"/>
      <c r="E237" s="85" t="str">
        <f>IFERROR(IF(D237="","",INDEX(Elements!J:J,MATCH(Design!D237,Elements!I:I,0))),SUBSTITUTE(D237," ",""))</f>
        <v/>
      </c>
      <c r="F237" s="13"/>
      <c r="G237" s="84" t="str">
        <f>IFERROR(IF(F237="","",INDEX(Elements!L:L,MATCH(Design!F237,Elements!K:K,0))),F237)</f>
        <v/>
      </c>
      <c r="H237" s="12"/>
      <c r="I237" s="14"/>
      <c r="J237" s="63" t="str">
        <f t="shared" ca="1" si="55"/>
        <v>columnHeaders</v>
      </c>
      <c r="K237" s="63">
        <f t="shared" ca="1" si="46"/>
        <v>0</v>
      </c>
      <c r="L237" s="63" t="str">
        <f ca="1">IF(K237="fontFamily","fontFamily",IF(K237="fontSize","fontSize",IFERROR(INDEX(Elements!M:M,MATCH(Design!J237&amp;"|"&amp;Design!K237,Elements!N:N,0)),"")))</f>
        <v/>
      </c>
      <c r="M237" s="65" t="str">
        <f ca="1">IF(OR(L237="",L237="fill"),"",MATCH(IF(L237="enumeration",J237&amp;"|"&amp;G237,Design!L237),Elements!N:N,0))</f>
        <v/>
      </c>
      <c r="N237" s="65" t="str">
        <f t="shared" si="51"/>
        <v/>
      </c>
      <c r="O237" s="65" t="str">
        <f ca="1">"Elements!"&amp;INDEX(Elements!H:H,MATCH(Design!J237,Elements!J:J,0))</f>
        <v>Elements!K36:K44</v>
      </c>
      <c r="P237" s="65" t="str">
        <f t="shared" ca="1" si="58"/>
        <v>"</v>
      </c>
      <c r="Q237" s="75" t="str">
        <f t="shared" si="48"/>
        <v/>
      </c>
      <c r="R237" s="5" t="str">
        <f t="shared" si="49"/>
        <v/>
      </c>
      <c r="S237" s="5" t="str">
        <f t="shared" si="47"/>
        <v/>
      </c>
      <c r="T237" s="76" t="str">
        <f t="shared" si="50"/>
        <v/>
      </c>
      <c r="U237" s="5">
        <f t="shared" si="57"/>
        <v>0</v>
      </c>
      <c r="V237" s="5">
        <f t="shared" si="56"/>
        <v>0</v>
      </c>
      <c r="W237" s="77" t="str">
        <f t="shared" si="52"/>
        <v/>
      </c>
      <c r="X237" s="65" t="str">
        <f t="shared" si="53"/>
        <v/>
      </c>
      <c r="Y237" s="78" t="str">
        <f t="shared" si="54"/>
        <v/>
      </c>
      <c r="Z237" s="21"/>
      <c r="AA237" s="138"/>
      <c r="AB237" s="21"/>
    </row>
    <row r="238" spans="1:28" x14ac:dyDescent="0.25">
      <c r="A238" s="21"/>
      <c r="B238" s="18"/>
      <c r="C238" s="85" t="str">
        <f>IF(B238="","",INDEX(Elements!B:B,MATCH(Design!B238,Elements!A:A,0)))</f>
        <v/>
      </c>
      <c r="D238" s="13"/>
      <c r="E238" s="85" t="str">
        <f>IFERROR(IF(D238="","",INDEX(Elements!J:J,MATCH(Design!D238,Elements!I:I,0))),SUBSTITUTE(D238," ",""))</f>
        <v/>
      </c>
      <c r="F238" s="13"/>
      <c r="G238" s="84" t="str">
        <f>IFERROR(IF(F238="","",INDEX(Elements!L:L,MATCH(Design!F238,Elements!K:K,0))),F238)</f>
        <v/>
      </c>
      <c r="H238" s="12"/>
      <c r="I238" s="14"/>
      <c r="J238" s="63" t="str">
        <f t="shared" ca="1" si="55"/>
        <v>columnHeaders</v>
      </c>
      <c r="K238" s="63">
        <f t="shared" ca="1" si="46"/>
        <v>0</v>
      </c>
      <c r="L238" s="63" t="str">
        <f ca="1">IF(K238="fontFamily","fontFamily",IF(K238="fontSize","fontSize",IFERROR(INDEX(Elements!M:M,MATCH(Design!J238&amp;"|"&amp;Design!K238,Elements!N:N,0)),"")))</f>
        <v/>
      </c>
      <c r="M238" s="65" t="str">
        <f ca="1">IF(OR(L238="",L238="fill"),"",MATCH(IF(L238="enumeration",J238&amp;"|"&amp;G238,Design!L238),Elements!N:N,0))</f>
        <v/>
      </c>
      <c r="N238" s="65" t="str">
        <f t="shared" si="51"/>
        <v/>
      </c>
      <c r="O238" s="65" t="str">
        <f ca="1">"Elements!"&amp;INDEX(Elements!H:H,MATCH(Design!J238,Elements!J:J,0))</f>
        <v>Elements!K36:K44</v>
      </c>
      <c r="P238" s="65" t="str">
        <f t="shared" ca="1" si="58"/>
        <v>"</v>
      </c>
      <c r="Q238" s="75" t="str">
        <f t="shared" si="48"/>
        <v/>
      </c>
      <c r="R238" s="5" t="str">
        <f t="shared" si="49"/>
        <v/>
      </c>
      <c r="S238" s="5" t="str">
        <f t="shared" si="47"/>
        <v/>
      </c>
      <c r="T238" s="76" t="str">
        <f t="shared" si="50"/>
        <v/>
      </c>
      <c r="U238" s="5">
        <f t="shared" si="57"/>
        <v>0</v>
      </c>
      <c r="V238" s="5">
        <f t="shared" si="56"/>
        <v>0</v>
      </c>
      <c r="W238" s="77" t="str">
        <f t="shared" si="52"/>
        <v/>
      </c>
      <c r="X238" s="65" t="str">
        <f t="shared" si="53"/>
        <v/>
      </c>
      <c r="Y238" s="78" t="str">
        <f t="shared" si="54"/>
        <v/>
      </c>
      <c r="Z238" s="21"/>
      <c r="AA238" s="138"/>
      <c r="AB238" s="21"/>
    </row>
    <row r="239" spans="1:28" x14ac:dyDescent="0.25">
      <c r="A239" s="21"/>
      <c r="B239" s="18"/>
      <c r="C239" s="85" t="str">
        <f>IF(B239="","",INDEX(Elements!B:B,MATCH(Design!B239,Elements!A:A,0)))</f>
        <v/>
      </c>
      <c r="D239" s="13"/>
      <c r="E239" s="85" t="str">
        <f>IFERROR(IF(D239="","",INDEX(Elements!J:J,MATCH(Design!D239,Elements!I:I,0))),SUBSTITUTE(D239," ",""))</f>
        <v/>
      </c>
      <c r="F239" s="13"/>
      <c r="G239" s="84" t="str">
        <f>IFERROR(IF(F239="","",INDEX(Elements!L:L,MATCH(Design!F239,Elements!K:K,0))),F239)</f>
        <v/>
      </c>
      <c r="H239" s="12"/>
      <c r="I239" s="14"/>
      <c r="J239" s="63" t="str">
        <f t="shared" ca="1" si="55"/>
        <v>columnHeaders</v>
      </c>
      <c r="K239" s="63">
        <f t="shared" ca="1" si="46"/>
        <v>0</v>
      </c>
      <c r="L239" s="63" t="str">
        <f ca="1">IF(K239="fontFamily","fontFamily",IF(K239="fontSize","fontSize",IFERROR(INDEX(Elements!M:M,MATCH(Design!J239&amp;"|"&amp;Design!K239,Elements!N:N,0)),"")))</f>
        <v/>
      </c>
      <c r="M239" s="65" t="str">
        <f ca="1">IF(OR(L239="",L239="fill"),"",MATCH(IF(L239="enumeration",J239&amp;"|"&amp;G239,Design!L239),Elements!N:N,0))</f>
        <v/>
      </c>
      <c r="N239" s="65" t="str">
        <f t="shared" si="51"/>
        <v/>
      </c>
      <c r="O239" s="65" t="str">
        <f ca="1">"Elements!"&amp;INDEX(Elements!H:H,MATCH(Design!J239,Elements!J:J,0))</f>
        <v>Elements!K36:K44</v>
      </c>
      <c r="P239" s="65" t="str">
        <f t="shared" ca="1" si="58"/>
        <v>"</v>
      </c>
      <c r="Q239" s="75" t="str">
        <f t="shared" si="48"/>
        <v/>
      </c>
      <c r="R239" s="5" t="str">
        <f t="shared" si="49"/>
        <v/>
      </c>
      <c r="S239" s="5" t="str">
        <f t="shared" si="47"/>
        <v/>
      </c>
      <c r="T239" s="76" t="str">
        <f t="shared" si="50"/>
        <v/>
      </c>
      <c r="U239" s="5">
        <f t="shared" si="57"/>
        <v>0</v>
      </c>
      <c r="V239" s="5">
        <f t="shared" si="56"/>
        <v>0</v>
      </c>
      <c r="W239" s="77" t="str">
        <f t="shared" si="52"/>
        <v/>
      </c>
      <c r="X239" s="65" t="str">
        <f t="shared" si="53"/>
        <v/>
      </c>
      <c r="Y239" s="78" t="str">
        <f t="shared" si="54"/>
        <v/>
      </c>
      <c r="Z239" s="21"/>
      <c r="AA239" s="138"/>
      <c r="AB239" s="21"/>
    </row>
    <row r="240" spans="1:28" x14ac:dyDescent="0.25">
      <c r="A240" s="21"/>
      <c r="B240" s="18"/>
      <c r="C240" s="85" t="str">
        <f>IF(B240="","",INDEX(Elements!B:B,MATCH(Design!B240,Elements!A:A,0)))</f>
        <v/>
      </c>
      <c r="D240" s="13"/>
      <c r="E240" s="85" t="str">
        <f>IFERROR(IF(D240="","",INDEX(Elements!J:J,MATCH(Design!D240,Elements!I:I,0))),SUBSTITUTE(D240," ",""))</f>
        <v/>
      </c>
      <c r="F240" s="13"/>
      <c r="G240" s="84" t="str">
        <f>IFERROR(IF(F240="","",INDEX(Elements!L:L,MATCH(Design!F240,Elements!K:K,0))),F240)</f>
        <v/>
      </c>
      <c r="H240" s="12"/>
      <c r="I240" s="14"/>
      <c r="J240" s="63" t="str">
        <f t="shared" ca="1" si="55"/>
        <v>columnHeaders</v>
      </c>
      <c r="K240" s="63">
        <f t="shared" ca="1" si="46"/>
        <v>0</v>
      </c>
      <c r="L240" s="63" t="str">
        <f ca="1">IF(K240="fontFamily","fontFamily",IF(K240="fontSize","fontSize",IFERROR(INDEX(Elements!M:M,MATCH(Design!J240&amp;"|"&amp;Design!K240,Elements!N:N,0)),"")))</f>
        <v/>
      </c>
      <c r="M240" s="65" t="str">
        <f ca="1">IF(OR(L240="",L240="fill"),"",MATCH(IF(L240="enumeration",J240&amp;"|"&amp;G240,Design!L240),Elements!N:N,0))</f>
        <v/>
      </c>
      <c r="N240" s="65" t="str">
        <f t="shared" si="51"/>
        <v/>
      </c>
      <c r="O240" s="65" t="str">
        <f ca="1">"Elements!"&amp;INDEX(Elements!H:H,MATCH(Design!J240,Elements!J:J,0))</f>
        <v>Elements!K36:K44</v>
      </c>
      <c r="P240" s="65" t="str">
        <f t="shared" ca="1" si="58"/>
        <v>"</v>
      </c>
      <c r="Q240" s="75" t="str">
        <f t="shared" si="48"/>
        <v/>
      </c>
      <c r="R240" s="5" t="str">
        <f t="shared" si="49"/>
        <v/>
      </c>
      <c r="S240" s="5" t="str">
        <f t="shared" si="47"/>
        <v/>
      </c>
      <c r="T240" s="76" t="str">
        <f t="shared" si="50"/>
        <v/>
      </c>
      <c r="U240" s="5">
        <f t="shared" si="57"/>
        <v>0</v>
      </c>
      <c r="V240" s="5">
        <f t="shared" si="56"/>
        <v>0</v>
      </c>
      <c r="W240" s="77" t="str">
        <f t="shared" si="52"/>
        <v/>
      </c>
      <c r="X240" s="65" t="str">
        <f t="shared" si="53"/>
        <v/>
      </c>
      <c r="Y240" s="78" t="str">
        <f t="shared" si="54"/>
        <v/>
      </c>
      <c r="Z240" s="21"/>
      <c r="AA240" s="138"/>
      <c r="AB240" s="21"/>
    </row>
    <row r="241" spans="1:28" x14ac:dyDescent="0.25">
      <c r="A241" s="21"/>
      <c r="B241" s="18"/>
      <c r="C241" s="85" t="str">
        <f>IF(B241="","",INDEX(Elements!B:B,MATCH(Design!B241,Elements!A:A,0)))</f>
        <v/>
      </c>
      <c r="D241" s="13"/>
      <c r="E241" s="85" t="str">
        <f>IFERROR(IF(D241="","",INDEX(Elements!J:J,MATCH(Design!D241,Elements!I:I,0))),SUBSTITUTE(D241," ",""))</f>
        <v/>
      </c>
      <c r="F241" s="13"/>
      <c r="G241" s="84" t="str">
        <f>IFERROR(IF(F241="","",INDEX(Elements!L:L,MATCH(Design!F241,Elements!K:K,0))),F241)</f>
        <v/>
      </c>
      <c r="H241" s="12"/>
      <c r="I241" s="14"/>
      <c r="J241" s="63" t="str">
        <f t="shared" ca="1" si="55"/>
        <v>columnHeaders</v>
      </c>
      <c r="K241" s="63">
        <f t="shared" ca="1" si="46"/>
        <v>0</v>
      </c>
      <c r="L241" s="63" t="str">
        <f ca="1">IF(K241="fontFamily","fontFamily",IF(K241="fontSize","fontSize",IFERROR(INDEX(Elements!M:M,MATCH(Design!J241&amp;"|"&amp;Design!K241,Elements!N:N,0)),"")))</f>
        <v/>
      </c>
      <c r="M241" s="65" t="str">
        <f ca="1">IF(OR(L241="",L241="fill"),"",MATCH(IF(L241="enumeration",J241&amp;"|"&amp;G241,Design!L241),Elements!N:N,0))</f>
        <v/>
      </c>
      <c r="N241" s="65" t="str">
        <f t="shared" si="51"/>
        <v/>
      </c>
      <c r="O241" s="65" t="str">
        <f ca="1">"Elements!"&amp;INDEX(Elements!H:H,MATCH(Design!J241,Elements!J:J,0))</f>
        <v>Elements!K36:K44</v>
      </c>
      <c r="P241" s="65" t="str">
        <f t="shared" ca="1" si="58"/>
        <v>"</v>
      </c>
      <c r="Q241" s="75" t="str">
        <f t="shared" si="48"/>
        <v/>
      </c>
      <c r="R241" s="5" t="str">
        <f t="shared" si="49"/>
        <v/>
      </c>
      <c r="S241" s="5" t="str">
        <f t="shared" si="47"/>
        <v/>
      </c>
      <c r="T241" s="76" t="str">
        <f t="shared" si="50"/>
        <v/>
      </c>
      <c r="U241" s="5">
        <f t="shared" si="57"/>
        <v>0</v>
      </c>
      <c r="V241" s="5">
        <f t="shared" si="56"/>
        <v>0</v>
      </c>
      <c r="W241" s="77" t="str">
        <f t="shared" si="52"/>
        <v/>
      </c>
      <c r="X241" s="65" t="str">
        <f t="shared" si="53"/>
        <v/>
      </c>
      <c r="Y241" s="78" t="str">
        <f t="shared" si="54"/>
        <v/>
      </c>
      <c r="Z241" s="21"/>
      <c r="AA241" s="138"/>
      <c r="AB241" s="21"/>
    </row>
    <row r="242" spans="1:28" x14ac:dyDescent="0.25">
      <c r="A242" s="21"/>
      <c r="B242" s="18"/>
      <c r="C242" s="85" t="str">
        <f>IF(B242="","",INDEX(Elements!B:B,MATCH(Design!B242,Elements!A:A,0)))</f>
        <v/>
      </c>
      <c r="D242" s="13"/>
      <c r="E242" s="85" t="str">
        <f>IFERROR(IF(D242="","",INDEX(Elements!J:J,MATCH(Design!D242,Elements!I:I,0))),SUBSTITUTE(D242," ",""))</f>
        <v/>
      </c>
      <c r="F242" s="13"/>
      <c r="G242" s="84" t="str">
        <f>IFERROR(IF(F242="","",INDEX(Elements!L:L,MATCH(Design!F242,Elements!K:K,0))),F242)</f>
        <v/>
      </c>
      <c r="H242" s="12"/>
      <c r="I242" s="14"/>
      <c r="J242" s="63" t="str">
        <f t="shared" ca="1" si="55"/>
        <v>columnHeaders</v>
      </c>
      <c r="K242" s="63">
        <f t="shared" ca="1" si="46"/>
        <v>0</v>
      </c>
      <c r="L242" s="63" t="str">
        <f ca="1">IF(K242="fontFamily","fontFamily",IF(K242="fontSize","fontSize",IFERROR(INDEX(Elements!M:M,MATCH(Design!J242&amp;"|"&amp;Design!K242,Elements!N:N,0)),"")))</f>
        <v/>
      </c>
      <c r="M242" s="65" t="str">
        <f ca="1">IF(OR(L242="",L242="fill"),"",MATCH(IF(L242="enumeration",J242&amp;"|"&amp;G242,Design!L242),Elements!N:N,0))</f>
        <v/>
      </c>
      <c r="N242" s="65" t="str">
        <f t="shared" si="51"/>
        <v/>
      </c>
      <c r="O242" s="65" t="str">
        <f ca="1">"Elements!"&amp;INDEX(Elements!H:H,MATCH(Design!J242,Elements!J:J,0))</f>
        <v>Elements!K36:K44</v>
      </c>
      <c r="P242" s="65" t="str">
        <f t="shared" ca="1" si="58"/>
        <v>"</v>
      </c>
      <c r="Q242" s="75" t="str">
        <f t="shared" si="48"/>
        <v/>
      </c>
      <c r="R242" s="5" t="str">
        <f t="shared" si="49"/>
        <v/>
      </c>
      <c r="S242" s="5" t="str">
        <f t="shared" si="47"/>
        <v/>
      </c>
      <c r="T242" s="76" t="str">
        <f t="shared" si="50"/>
        <v/>
      </c>
      <c r="U242" s="5">
        <f t="shared" si="57"/>
        <v>0</v>
      </c>
      <c r="V242" s="5">
        <f t="shared" si="56"/>
        <v>0</v>
      </c>
      <c r="W242" s="77" t="str">
        <f t="shared" si="52"/>
        <v/>
      </c>
      <c r="X242" s="65" t="str">
        <f t="shared" si="53"/>
        <v/>
      </c>
      <c r="Y242" s="78" t="str">
        <f t="shared" si="54"/>
        <v/>
      </c>
      <c r="Z242" s="21"/>
      <c r="AA242" s="138"/>
      <c r="AB242" s="21"/>
    </row>
    <row r="243" spans="1:28" x14ac:dyDescent="0.25">
      <c r="A243" s="21"/>
      <c r="B243" s="18"/>
      <c r="C243" s="85" t="str">
        <f>IF(B243="","",INDEX(Elements!B:B,MATCH(Design!B243,Elements!A:A,0)))</f>
        <v/>
      </c>
      <c r="D243" s="13"/>
      <c r="E243" s="85" t="str">
        <f>IFERROR(IF(D243="","",INDEX(Elements!J:J,MATCH(Design!D243,Elements!I:I,0))),SUBSTITUTE(D243," ",""))</f>
        <v/>
      </c>
      <c r="F243" s="13"/>
      <c r="G243" s="84" t="str">
        <f>IFERROR(IF(F243="","",INDEX(Elements!L:L,MATCH(Design!F243,Elements!K:K,0))),F243)</f>
        <v/>
      </c>
      <c r="H243" s="12"/>
      <c r="I243" s="14"/>
      <c r="J243" s="63" t="str">
        <f t="shared" ca="1" si="55"/>
        <v>columnHeaders</v>
      </c>
      <c r="K243" s="63">
        <f t="shared" ca="1" si="46"/>
        <v>0</v>
      </c>
      <c r="L243" s="63" t="str">
        <f ca="1">IF(K243="fontFamily","fontFamily",IF(K243="fontSize","fontSize",IFERROR(INDEX(Elements!M:M,MATCH(Design!J243&amp;"|"&amp;Design!K243,Elements!N:N,0)),"")))</f>
        <v/>
      </c>
      <c r="M243" s="65" t="str">
        <f ca="1">IF(OR(L243="",L243="fill"),"",MATCH(IF(L243="enumeration",J243&amp;"|"&amp;G243,Design!L243),Elements!N:N,0))</f>
        <v/>
      </c>
      <c r="N243" s="65" t="str">
        <f t="shared" si="51"/>
        <v/>
      </c>
      <c r="O243" s="65" t="str">
        <f ca="1">"Elements!"&amp;INDEX(Elements!H:H,MATCH(Design!J243,Elements!J:J,0))</f>
        <v>Elements!K36:K44</v>
      </c>
      <c r="P243" s="65" t="str">
        <f t="shared" ca="1" si="58"/>
        <v>"</v>
      </c>
      <c r="Q243" s="75" t="str">
        <f t="shared" si="48"/>
        <v/>
      </c>
      <c r="R243" s="5" t="str">
        <f t="shared" si="49"/>
        <v/>
      </c>
      <c r="S243" s="5" t="str">
        <f t="shared" si="47"/>
        <v/>
      </c>
      <c r="T243" s="76" t="str">
        <f t="shared" si="50"/>
        <v/>
      </c>
      <c r="U243" s="5">
        <f t="shared" si="57"/>
        <v>0</v>
      </c>
      <c r="V243" s="5">
        <f t="shared" si="56"/>
        <v>0</v>
      </c>
      <c r="W243" s="77" t="str">
        <f t="shared" si="52"/>
        <v/>
      </c>
      <c r="X243" s="65" t="str">
        <f t="shared" si="53"/>
        <v/>
      </c>
      <c r="Y243" s="78" t="str">
        <f t="shared" si="54"/>
        <v/>
      </c>
      <c r="Z243" s="21"/>
      <c r="AA243" s="138"/>
      <c r="AB243" s="21"/>
    </row>
    <row r="244" spans="1:28" x14ac:dyDescent="0.25">
      <c r="A244" s="21"/>
      <c r="B244" s="18"/>
      <c r="C244" s="85" t="str">
        <f>IF(B244="","",INDEX(Elements!B:B,MATCH(Design!B244,Elements!A:A,0)))</f>
        <v/>
      </c>
      <c r="D244" s="13"/>
      <c r="E244" s="85" t="str">
        <f>IFERROR(IF(D244="","",INDEX(Elements!J:J,MATCH(Design!D244,Elements!I:I,0))),SUBSTITUTE(D244," ",""))</f>
        <v/>
      </c>
      <c r="F244" s="13"/>
      <c r="G244" s="84" t="str">
        <f>IFERROR(IF(F244="","",INDEX(Elements!L:L,MATCH(Design!F244,Elements!K:K,0))),F244)</f>
        <v/>
      </c>
      <c r="H244" s="12"/>
      <c r="I244" s="14"/>
      <c r="J244" s="63" t="str">
        <f t="shared" ca="1" si="55"/>
        <v>columnHeaders</v>
      </c>
      <c r="K244" s="63">
        <f t="shared" ca="1" si="46"/>
        <v>0</v>
      </c>
      <c r="L244" s="63" t="str">
        <f ca="1">IF(K244="fontFamily","fontFamily",IF(K244="fontSize","fontSize",IFERROR(INDEX(Elements!M:M,MATCH(Design!J244&amp;"|"&amp;Design!K244,Elements!N:N,0)),"")))</f>
        <v/>
      </c>
      <c r="M244" s="65" t="str">
        <f ca="1">IF(OR(L244="",L244="fill"),"",MATCH(IF(L244="enumeration",J244&amp;"|"&amp;G244,Design!L244),Elements!N:N,0))</f>
        <v/>
      </c>
      <c r="N244" s="65" t="str">
        <f t="shared" si="51"/>
        <v/>
      </c>
      <c r="O244" s="65" t="str">
        <f ca="1">"Elements!"&amp;INDEX(Elements!H:H,MATCH(Design!J244,Elements!J:J,0))</f>
        <v>Elements!K36:K44</v>
      </c>
      <c r="P244" s="65" t="str">
        <f t="shared" ca="1" si="58"/>
        <v>"</v>
      </c>
      <c r="Q244" s="75" t="str">
        <f t="shared" si="48"/>
        <v/>
      </c>
      <c r="R244" s="5" t="str">
        <f t="shared" si="49"/>
        <v/>
      </c>
      <c r="S244" s="5" t="str">
        <f t="shared" si="47"/>
        <v/>
      </c>
      <c r="T244" s="76" t="str">
        <f t="shared" si="50"/>
        <v/>
      </c>
      <c r="U244" s="5">
        <f t="shared" si="57"/>
        <v>0</v>
      </c>
      <c r="V244" s="5">
        <f t="shared" si="56"/>
        <v>0</v>
      </c>
      <c r="W244" s="77" t="str">
        <f t="shared" si="52"/>
        <v/>
      </c>
      <c r="X244" s="65" t="str">
        <f t="shared" si="53"/>
        <v/>
      </c>
      <c r="Y244" s="78" t="str">
        <f t="shared" si="54"/>
        <v/>
      </c>
      <c r="Z244" s="21"/>
      <c r="AA244" s="138"/>
      <c r="AB244" s="21"/>
    </row>
    <row r="245" spans="1:28" x14ac:dyDescent="0.25">
      <c r="A245" s="21"/>
      <c r="B245" s="18"/>
      <c r="C245" s="85" t="str">
        <f>IF(B245="","",INDEX(Elements!B:B,MATCH(Design!B245,Elements!A:A,0)))</f>
        <v/>
      </c>
      <c r="D245" s="13"/>
      <c r="E245" s="85" t="str">
        <f>IFERROR(IF(D245="","",INDEX(Elements!J:J,MATCH(Design!D245,Elements!I:I,0))),SUBSTITUTE(D245," ",""))</f>
        <v/>
      </c>
      <c r="F245" s="13"/>
      <c r="G245" s="84" t="str">
        <f>IFERROR(IF(F245="","",INDEX(Elements!L:L,MATCH(Design!F245,Elements!K:K,0))),F245)</f>
        <v/>
      </c>
      <c r="H245" s="12"/>
      <c r="I245" s="14"/>
      <c r="J245" s="63" t="str">
        <f t="shared" ca="1" si="55"/>
        <v>columnHeaders</v>
      </c>
      <c r="K245" s="63">
        <f t="shared" ca="1" si="46"/>
        <v>0</v>
      </c>
      <c r="L245" s="63" t="str">
        <f ca="1">IF(K245="fontFamily","fontFamily",IF(K245="fontSize","fontSize",IFERROR(INDEX(Elements!M:M,MATCH(Design!J245&amp;"|"&amp;Design!K245,Elements!N:N,0)),"")))</f>
        <v/>
      </c>
      <c r="M245" s="65" t="str">
        <f ca="1">IF(OR(L245="",L245="fill"),"",MATCH(IF(L245="enumeration",J245&amp;"|"&amp;G245,Design!L245),Elements!N:N,0))</f>
        <v/>
      </c>
      <c r="N245" s="65" t="str">
        <f t="shared" si="51"/>
        <v/>
      </c>
      <c r="O245" s="65" t="str">
        <f ca="1">"Elements!"&amp;INDEX(Elements!H:H,MATCH(Design!J245,Elements!J:J,0))</f>
        <v>Elements!K36:K44</v>
      </c>
      <c r="P245" s="65" t="str">
        <f t="shared" ca="1" si="58"/>
        <v>"</v>
      </c>
      <c r="Q245" s="75" t="str">
        <f t="shared" si="48"/>
        <v/>
      </c>
      <c r="R245" s="5" t="str">
        <f t="shared" si="49"/>
        <v/>
      </c>
      <c r="S245" s="5" t="str">
        <f t="shared" si="47"/>
        <v/>
      </c>
      <c r="T245" s="76" t="str">
        <f t="shared" si="50"/>
        <v/>
      </c>
      <c r="U245" s="5">
        <f t="shared" si="57"/>
        <v>0</v>
      </c>
      <c r="V245" s="5">
        <f t="shared" si="56"/>
        <v>0</v>
      </c>
      <c r="W245" s="77" t="str">
        <f t="shared" si="52"/>
        <v/>
      </c>
      <c r="X245" s="65" t="str">
        <f t="shared" si="53"/>
        <v/>
      </c>
      <c r="Y245" s="78" t="str">
        <f t="shared" si="54"/>
        <v/>
      </c>
      <c r="Z245" s="21"/>
      <c r="AA245" s="138"/>
      <c r="AB245" s="21"/>
    </row>
    <row r="246" spans="1:28" x14ac:dyDescent="0.25">
      <c r="A246" s="21"/>
      <c r="B246" s="18"/>
      <c r="C246" s="85" t="str">
        <f>IF(B246="","",INDEX(Elements!B:B,MATCH(Design!B246,Elements!A:A,0)))</f>
        <v/>
      </c>
      <c r="D246" s="13"/>
      <c r="E246" s="85" t="str">
        <f>IFERROR(IF(D246="","",INDEX(Elements!J:J,MATCH(Design!D246,Elements!I:I,0))),SUBSTITUTE(D246," ",""))</f>
        <v/>
      </c>
      <c r="F246" s="13"/>
      <c r="G246" s="84" t="str">
        <f>IFERROR(IF(F246="","",INDEX(Elements!L:L,MATCH(Design!F246,Elements!K:K,0))),F246)</f>
        <v/>
      </c>
      <c r="H246" s="12"/>
      <c r="I246" s="14"/>
      <c r="J246" s="63" t="str">
        <f t="shared" ca="1" si="55"/>
        <v>columnHeaders</v>
      </c>
      <c r="K246" s="63">
        <f t="shared" ca="1" si="46"/>
        <v>0</v>
      </c>
      <c r="L246" s="63" t="str">
        <f ca="1">IF(K246="fontFamily","fontFamily",IF(K246="fontSize","fontSize",IFERROR(INDEX(Elements!M:M,MATCH(Design!J246&amp;"|"&amp;Design!K246,Elements!N:N,0)),"")))</f>
        <v/>
      </c>
      <c r="M246" s="65" t="str">
        <f ca="1">IF(OR(L246="",L246="fill"),"",MATCH(IF(L246="enumeration",J246&amp;"|"&amp;G246,Design!L246),Elements!N:N,0))</f>
        <v/>
      </c>
      <c r="N246" s="65" t="str">
        <f t="shared" si="51"/>
        <v/>
      </c>
      <c r="O246" s="65" t="str">
        <f ca="1">"Elements!"&amp;INDEX(Elements!H:H,MATCH(Design!J246,Elements!J:J,0))</f>
        <v>Elements!K36:K44</v>
      </c>
      <c r="P246" s="65" t="str">
        <f t="shared" ca="1" si="58"/>
        <v>"</v>
      </c>
      <c r="Q246" s="75" t="str">
        <f t="shared" si="48"/>
        <v/>
      </c>
      <c r="R246" s="5" t="str">
        <f t="shared" si="49"/>
        <v/>
      </c>
      <c r="S246" s="5" t="str">
        <f t="shared" si="47"/>
        <v/>
      </c>
      <c r="T246" s="76" t="str">
        <f t="shared" si="50"/>
        <v/>
      </c>
      <c r="U246" s="5">
        <f t="shared" si="57"/>
        <v>0</v>
      </c>
      <c r="V246" s="5">
        <f t="shared" si="56"/>
        <v>0</v>
      </c>
      <c r="W246" s="77" t="str">
        <f t="shared" si="52"/>
        <v/>
      </c>
      <c r="X246" s="65" t="str">
        <f t="shared" si="53"/>
        <v/>
      </c>
      <c r="Y246" s="78" t="str">
        <f t="shared" si="54"/>
        <v/>
      </c>
      <c r="Z246" s="21"/>
      <c r="AA246" s="138"/>
      <c r="AB246" s="21"/>
    </row>
    <row r="247" spans="1:28" x14ac:dyDescent="0.25">
      <c r="A247" s="21"/>
      <c r="B247" s="18"/>
      <c r="C247" s="85" t="str">
        <f>IF(B247="","",INDEX(Elements!B:B,MATCH(Design!B247,Elements!A:A,0)))</f>
        <v/>
      </c>
      <c r="D247" s="13"/>
      <c r="E247" s="85" t="str">
        <f>IFERROR(IF(D247="","",INDEX(Elements!J:J,MATCH(Design!D247,Elements!I:I,0))),SUBSTITUTE(D247," ",""))</f>
        <v/>
      </c>
      <c r="F247" s="13"/>
      <c r="G247" s="84" t="str">
        <f>IFERROR(IF(F247="","",INDEX(Elements!L:L,MATCH(Design!F247,Elements!K:K,0))),F247)</f>
        <v/>
      </c>
      <c r="H247" s="12"/>
      <c r="I247" s="14"/>
      <c r="J247" s="63" t="str">
        <f t="shared" ca="1" si="55"/>
        <v>columnHeaders</v>
      </c>
      <c r="K247" s="63">
        <f t="shared" ca="1" si="46"/>
        <v>0</v>
      </c>
      <c r="L247" s="63" t="str">
        <f ca="1">IF(K247="fontFamily","fontFamily",IF(K247="fontSize","fontSize",IFERROR(INDEX(Elements!M:M,MATCH(Design!J247&amp;"|"&amp;Design!K247,Elements!N:N,0)),"")))</f>
        <v/>
      </c>
      <c r="M247" s="65" t="str">
        <f ca="1">IF(OR(L247="",L247="fill"),"",MATCH(IF(L247="enumeration",J247&amp;"|"&amp;G247,Design!L247),Elements!N:N,0))</f>
        <v/>
      </c>
      <c r="N247" s="65" t="str">
        <f t="shared" si="51"/>
        <v/>
      </c>
      <c r="O247" s="65" t="str">
        <f ca="1">"Elements!"&amp;INDEX(Elements!H:H,MATCH(Design!J247,Elements!J:J,0))</f>
        <v>Elements!K36:K44</v>
      </c>
      <c r="P247" s="65" t="str">
        <f t="shared" ca="1" si="58"/>
        <v>"</v>
      </c>
      <c r="Q247" s="75" t="str">
        <f t="shared" si="48"/>
        <v/>
      </c>
      <c r="R247" s="5" t="str">
        <f t="shared" si="49"/>
        <v/>
      </c>
      <c r="S247" s="5" t="str">
        <f t="shared" si="47"/>
        <v/>
      </c>
      <c r="T247" s="76" t="str">
        <f t="shared" si="50"/>
        <v/>
      </c>
      <c r="U247" s="5">
        <f t="shared" si="57"/>
        <v>0</v>
      </c>
      <c r="V247" s="5">
        <f t="shared" si="56"/>
        <v>0</v>
      </c>
      <c r="W247" s="77" t="str">
        <f t="shared" si="52"/>
        <v/>
      </c>
      <c r="X247" s="65" t="str">
        <f t="shared" si="53"/>
        <v/>
      </c>
      <c r="Y247" s="78" t="str">
        <f t="shared" si="54"/>
        <v/>
      </c>
      <c r="Z247" s="21"/>
      <c r="AA247" s="138"/>
      <c r="AB247" s="21"/>
    </row>
    <row r="248" spans="1:28" x14ac:dyDescent="0.25">
      <c r="A248" s="21"/>
      <c r="B248" s="18"/>
      <c r="C248" s="85" t="str">
        <f>IF(B248="","",INDEX(Elements!B:B,MATCH(Design!B248,Elements!A:A,0)))</f>
        <v/>
      </c>
      <c r="D248" s="13"/>
      <c r="E248" s="85" t="str">
        <f>IFERROR(IF(D248="","",INDEX(Elements!J:J,MATCH(Design!D248,Elements!I:I,0))),SUBSTITUTE(D248," ",""))</f>
        <v/>
      </c>
      <c r="F248" s="13"/>
      <c r="G248" s="84" t="str">
        <f>IFERROR(IF(F248="","",INDEX(Elements!L:L,MATCH(Design!F248,Elements!K:K,0))),F248)</f>
        <v/>
      </c>
      <c r="H248" s="12"/>
      <c r="I248" s="14"/>
      <c r="J248" s="63" t="str">
        <f t="shared" ca="1" si="55"/>
        <v>columnHeaders</v>
      </c>
      <c r="K248" s="63">
        <f t="shared" ca="1" si="46"/>
        <v>0</v>
      </c>
      <c r="L248" s="63" t="str">
        <f ca="1">IF(K248="fontFamily","fontFamily",IF(K248="fontSize","fontSize",IFERROR(INDEX(Elements!M:M,MATCH(Design!J248&amp;"|"&amp;Design!K248,Elements!N:N,0)),"")))</f>
        <v/>
      </c>
      <c r="M248" s="65" t="str">
        <f ca="1">IF(OR(L248="",L248="fill"),"",MATCH(IF(L248="enumeration",J248&amp;"|"&amp;G248,Design!L248),Elements!N:N,0))</f>
        <v/>
      </c>
      <c r="N248" s="65" t="str">
        <f t="shared" si="51"/>
        <v/>
      </c>
      <c r="O248" s="65" t="str">
        <f ca="1">"Elements!"&amp;INDEX(Elements!H:H,MATCH(Design!J248,Elements!J:J,0))</f>
        <v>Elements!K36:K44</v>
      </c>
      <c r="P248" s="65" t="str">
        <f t="shared" ca="1" si="58"/>
        <v>"</v>
      </c>
      <c r="Q248" s="75" t="str">
        <f t="shared" si="48"/>
        <v/>
      </c>
      <c r="R248" s="5" t="str">
        <f t="shared" si="49"/>
        <v/>
      </c>
      <c r="S248" s="5" t="str">
        <f t="shared" si="47"/>
        <v/>
      </c>
      <c r="T248" s="76" t="str">
        <f t="shared" si="50"/>
        <v/>
      </c>
      <c r="U248" s="5">
        <f t="shared" ref="U248:V279" si="59">SUMPRODUCT(LEN($T248)-LEN(SUBSTITUTE($T248,U$2,"")))</f>
        <v>0</v>
      </c>
      <c r="V248" s="5">
        <f t="shared" si="56"/>
        <v>0</v>
      </c>
      <c r="W248" s="77" t="str">
        <f t="shared" si="52"/>
        <v/>
      </c>
      <c r="X248" s="65" t="str">
        <f t="shared" si="53"/>
        <v/>
      </c>
      <c r="Y248" s="78" t="str">
        <f t="shared" si="54"/>
        <v/>
      </c>
      <c r="Z248" s="21"/>
      <c r="AA248" s="138"/>
      <c r="AB248" s="21"/>
    </row>
    <row r="249" spans="1:28" x14ac:dyDescent="0.25">
      <c r="A249" s="21"/>
      <c r="B249" s="18"/>
      <c r="C249" s="85" t="str">
        <f>IF(B249="","",INDEX(Elements!B:B,MATCH(Design!B249,Elements!A:A,0)))</f>
        <v/>
      </c>
      <c r="D249" s="13"/>
      <c r="E249" s="85" t="str">
        <f>IFERROR(IF(D249="","",INDEX(Elements!J:J,MATCH(Design!D249,Elements!I:I,0))),SUBSTITUTE(D249," ",""))</f>
        <v/>
      </c>
      <c r="F249" s="13"/>
      <c r="G249" s="84" t="str">
        <f>IFERROR(IF(F249="","",INDEX(Elements!L:L,MATCH(Design!F249,Elements!K:K,0))),F249)</f>
        <v/>
      </c>
      <c r="H249" s="12"/>
      <c r="I249" s="14"/>
      <c r="J249" s="63" t="str">
        <f t="shared" ca="1" si="55"/>
        <v>columnHeaders</v>
      </c>
      <c r="K249" s="63">
        <f t="shared" ca="1" si="46"/>
        <v>0</v>
      </c>
      <c r="L249" s="63" t="str">
        <f ca="1">IF(K249="fontFamily","fontFamily",IF(K249="fontSize","fontSize",IFERROR(INDEX(Elements!M:M,MATCH(Design!J249&amp;"|"&amp;Design!K249,Elements!N:N,0)),"")))</f>
        <v/>
      </c>
      <c r="M249" s="65" t="str">
        <f ca="1">IF(OR(L249="",L249="fill"),"",MATCH(IF(L249="enumeration",J249&amp;"|"&amp;G249,Design!L249),Elements!N:N,0))</f>
        <v/>
      </c>
      <c r="N249" s="65" t="str">
        <f t="shared" si="51"/>
        <v/>
      </c>
      <c r="O249" s="65" t="str">
        <f ca="1">"Elements!"&amp;INDEX(Elements!H:H,MATCH(Design!J249,Elements!J:J,0))</f>
        <v>Elements!K36:K44</v>
      </c>
      <c r="P249" s="65" t="str">
        <f t="shared" ca="1" si="58"/>
        <v>"</v>
      </c>
      <c r="Q249" s="75" t="str">
        <f t="shared" si="48"/>
        <v/>
      </c>
      <c r="R249" s="5" t="str">
        <f t="shared" si="49"/>
        <v/>
      </c>
      <c r="S249" s="5" t="str">
        <f t="shared" si="47"/>
        <v/>
      </c>
      <c r="T249" s="76" t="str">
        <f t="shared" si="50"/>
        <v/>
      </c>
      <c r="U249" s="5">
        <f t="shared" si="59"/>
        <v>0</v>
      </c>
      <c r="V249" s="5">
        <f t="shared" si="56"/>
        <v>0</v>
      </c>
      <c r="W249" s="77" t="str">
        <f t="shared" si="52"/>
        <v/>
      </c>
      <c r="X249" s="65" t="str">
        <f t="shared" si="53"/>
        <v/>
      </c>
      <c r="Y249" s="78" t="str">
        <f t="shared" si="54"/>
        <v/>
      </c>
      <c r="Z249" s="21"/>
      <c r="AA249" s="138"/>
      <c r="AB249" s="21"/>
    </row>
    <row r="250" spans="1:28" x14ac:dyDescent="0.25">
      <c r="A250" s="21"/>
      <c r="B250" s="18"/>
      <c r="C250" s="85" t="str">
        <f>IF(B250="","",INDEX(Elements!B:B,MATCH(Design!B250,Elements!A:A,0)))</f>
        <v/>
      </c>
      <c r="D250" s="13"/>
      <c r="E250" s="85" t="str">
        <f>IFERROR(IF(D250="","",INDEX(Elements!J:J,MATCH(Design!D250,Elements!I:I,0))),SUBSTITUTE(D250," ",""))</f>
        <v/>
      </c>
      <c r="F250" s="13"/>
      <c r="G250" s="84" t="str">
        <f>IFERROR(IF(F250="","",INDEX(Elements!L:L,MATCH(Design!F250,Elements!K:K,0))),F250)</f>
        <v/>
      </c>
      <c r="H250" s="12"/>
      <c r="I250" s="14"/>
      <c r="J250" s="63" t="str">
        <f t="shared" ca="1" si="55"/>
        <v>columnHeaders</v>
      </c>
      <c r="K250" s="63">
        <f t="shared" ref="K250:K313" ca="1" si="60">IFERROR(IF(G250="",INDIRECT("I"&amp;ROW()-1),G250),"")</f>
        <v>0</v>
      </c>
      <c r="L250" s="63" t="str">
        <f ca="1">IF(K250="fontFamily","fontFamily",IF(K250="fontSize","fontSize",IFERROR(INDEX(Elements!M:M,MATCH(Design!J250&amp;"|"&amp;Design!K250,Elements!N:N,0)),"")))</f>
        <v/>
      </c>
      <c r="M250" s="65" t="str">
        <f ca="1">IF(OR(L250="",L250="fill"),"",MATCH(IF(L250="enumeration",J250&amp;"|"&amp;G250,Design!L250),Elements!N:N,0))</f>
        <v/>
      </c>
      <c r="N250" s="65" t="str">
        <f t="shared" si="51"/>
        <v/>
      </c>
      <c r="O250" s="65" t="str">
        <f ca="1">"Elements!"&amp;INDEX(Elements!H:H,MATCH(Design!J250,Elements!J:J,0))</f>
        <v>Elements!K36:K44</v>
      </c>
      <c r="P250" s="65" t="str">
        <f t="shared" ca="1" si="58"/>
        <v>"</v>
      </c>
      <c r="Q250" s="75" t="str">
        <f t="shared" si="48"/>
        <v/>
      </c>
      <c r="R250" s="5" t="str">
        <f t="shared" si="49"/>
        <v/>
      </c>
      <c r="S250" s="5" t="str">
        <f t="shared" ref="S250:S313" si="61">IF(G250="","",IF(G249&lt;&gt;"",",","")&amp;"{"&amp;CHAR(34)&amp;G250&amp;CHAR(34)&amp;":"&amp;P250&amp;H250&amp;I250&amp;P250&amp;"}")</f>
        <v/>
      </c>
      <c r="T250" s="76" t="str">
        <f t="shared" si="50"/>
        <v/>
      </c>
      <c r="U250" s="5">
        <f t="shared" si="59"/>
        <v>0</v>
      </c>
      <c r="V250" s="5">
        <f t="shared" si="56"/>
        <v>0</v>
      </c>
      <c r="W250" s="77" t="str">
        <f t="shared" si="52"/>
        <v/>
      </c>
      <c r="X250" s="65" t="str">
        <f t="shared" si="53"/>
        <v/>
      </c>
      <c r="Y250" s="78" t="str">
        <f t="shared" si="54"/>
        <v/>
      </c>
      <c r="Z250" s="21"/>
      <c r="AA250" s="138"/>
      <c r="AB250" s="21"/>
    </row>
    <row r="251" spans="1:28" x14ac:dyDescent="0.25">
      <c r="A251" s="21"/>
      <c r="B251" s="18"/>
      <c r="C251" s="85" t="str">
        <f>IF(B251="","",INDEX(Elements!B:B,MATCH(Design!B251,Elements!A:A,0)))</f>
        <v/>
      </c>
      <c r="D251" s="13"/>
      <c r="E251" s="85" t="str">
        <f>IFERROR(IF(D251="","",INDEX(Elements!J:J,MATCH(Design!D251,Elements!I:I,0))),SUBSTITUTE(D251," ",""))</f>
        <v/>
      </c>
      <c r="F251" s="13"/>
      <c r="G251" s="84" t="str">
        <f>IFERROR(IF(F251="","",INDEX(Elements!L:L,MATCH(Design!F251,Elements!K:K,0))),F251)</f>
        <v/>
      </c>
      <c r="H251" s="12"/>
      <c r="I251" s="14"/>
      <c r="J251" s="63" t="str">
        <f t="shared" ca="1" si="55"/>
        <v>columnHeaders</v>
      </c>
      <c r="K251" s="63">
        <f t="shared" ca="1" si="60"/>
        <v>0</v>
      </c>
      <c r="L251" s="63" t="str">
        <f ca="1">IF(K251="fontFamily","fontFamily",IF(K251="fontSize","fontSize",IFERROR(INDEX(Elements!M:M,MATCH(Design!J251&amp;"|"&amp;Design!K251,Elements!N:N,0)),"")))</f>
        <v/>
      </c>
      <c r="M251" s="65" t="str">
        <f ca="1">IF(OR(L251="",L251="fill"),"",MATCH(IF(L251="enumeration",J251&amp;"|"&amp;G251,Design!L251),Elements!N:N,0))</f>
        <v/>
      </c>
      <c r="N251" s="65" t="str">
        <f t="shared" si="51"/>
        <v/>
      </c>
      <c r="O251" s="65" t="str">
        <f ca="1">"Elements!"&amp;INDEX(Elements!H:H,MATCH(Design!J251,Elements!J:J,0))</f>
        <v>Elements!K36:K44</v>
      </c>
      <c r="P251" s="65" t="str">
        <f t="shared" ca="1" si="58"/>
        <v>"</v>
      </c>
      <c r="Q251" s="75" t="str">
        <f t="shared" ref="Q251:Q314" si="62">IF(C251&lt;&gt;"","}},"&amp;CHAR(34)&amp;C251&amp;CHAR(34)&amp;":{"&amp;CHAR(34)&amp;"*"&amp;CHAR(34)&amp;":{","")</f>
        <v/>
      </c>
      <c r="R251" s="5" t="str">
        <f t="shared" ref="R251:R314" si="63">IF(AND(S250&lt;&gt;"",G251=""),"]","")&amp;IF(E251="","",IF(C250="",",","")&amp;CHAR(34)&amp;E251&amp;CHAR(34)&amp;":[")</f>
        <v/>
      </c>
      <c r="S251" s="5" t="str">
        <f t="shared" si="61"/>
        <v/>
      </c>
      <c r="T251" s="76" t="str">
        <f t="shared" si="50"/>
        <v/>
      </c>
      <c r="U251" s="5">
        <f t="shared" si="59"/>
        <v>0</v>
      </c>
      <c r="V251" s="5">
        <f t="shared" si="56"/>
        <v>0</v>
      </c>
      <c r="W251" s="77" t="str">
        <f t="shared" si="52"/>
        <v/>
      </c>
      <c r="X251" s="65" t="str">
        <f t="shared" si="53"/>
        <v/>
      </c>
      <c r="Y251" s="78" t="str">
        <f t="shared" si="54"/>
        <v/>
      </c>
      <c r="Z251" s="21"/>
      <c r="AA251" s="138"/>
      <c r="AB251" s="21"/>
    </row>
    <row r="252" spans="1:28" x14ac:dyDescent="0.25">
      <c r="A252" s="21"/>
      <c r="B252" s="18"/>
      <c r="C252" s="85" t="str">
        <f>IF(B252="","",INDEX(Elements!B:B,MATCH(Design!B252,Elements!A:A,0)))</f>
        <v/>
      </c>
      <c r="D252" s="13"/>
      <c r="E252" s="85" t="str">
        <f>IFERROR(IF(D252="","",INDEX(Elements!J:J,MATCH(Design!D252,Elements!I:I,0))),SUBSTITUTE(D252," ",""))</f>
        <v/>
      </c>
      <c r="F252" s="13"/>
      <c r="G252" s="84" t="str">
        <f>IFERROR(IF(F252="","",INDEX(Elements!L:L,MATCH(Design!F252,Elements!K:K,0))),F252)</f>
        <v/>
      </c>
      <c r="H252" s="12"/>
      <c r="I252" s="14"/>
      <c r="J252" s="63" t="str">
        <f t="shared" ca="1" si="55"/>
        <v>columnHeaders</v>
      </c>
      <c r="K252" s="63">
        <f t="shared" ca="1" si="60"/>
        <v>0</v>
      </c>
      <c r="L252" s="63" t="str">
        <f ca="1">IF(K252="fontFamily","fontFamily",IF(K252="fontSize","fontSize",IFERROR(INDEX(Elements!M:M,MATCH(Design!J252&amp;"|"&amp;Design!K252,Elements!N:N,0)),"")))</f>
        <v/>
      </c>
      <c r="M252" s="65" t="str">
        <f ca="1">IF(OR(L252="",L252="fill"),"",MATCH(IF(L252="enumeration",J252&amp;"|"&amp;G252,Design!L252),Elements!N:N,0))</f>
        <v/>
      </c>
      <c r="N252" s="65" t="str">
        <f t="shared" si="51"/>
        <v/>
      </c>
      <c r="O252" s="65" t="str">
        <f ca="1">"Elements!"&amp;INDEX(Elements!H:H,MATCH(Design!J252,Elements!J:J,0))</f>
        <v>Elements!K36:K44</v>
      </c>
      <c r="P252" s="65" t="str">
        <f t="shared" ca="1" si="58"/>
        <v>"</v>
      </c>
      <c r="Q252" s="75" t="str">
        <f t="shared" si="62"/>
        <v/>
      </c>
      <c r="R252" s="5" t="str">
        <f t="shared" si="63"/>
        <v/>
      </c>
      <c r="S252" s="5" t="str">
        <f t="shared" si="61"/>
        <v/>
      </c>
      <c r="T252" s="76" t="str">
        <f t="shared" si="50"/>
        <v/>
      </c>
      <c r="U252" s="5">
        <f t="shared" si="59"/>
        <v>0</v>
      </c>
      <c r="V252" s="5">
        <f t="shared" si="56"/>
        <v>0</v>
      </c>
      <c r="W252" s="77" t="str">
        <f t="shared" si="52"/>
        <v/>
      </c>
      <c r="X252" s="65" t="str">
        <f t="shared" si="53"/>
        <v/>
      </c>
      <c r="Y252" s="78" t="str">
        <f t="shared" si="54"/>
        <v/>
      </c>
      <c r="Z252" s="21"/>
      <c r="AA252" s="138"/>
      <c r="AB252" s="21"/>
    </row>
    <row r="253" spans="1:28" x14ac:dyDescent="0.25">
      <c r="A253" s="21"/>
      <c r="B253" s="18"/>
      <c r="C253" s="85" t="str">
        <f>IF(B253="","",INDEX(Elements!B:B,MATCH(Design!B253,Elements!A:A,0)))</f>
        <v/>
      </c>
      <c r="D253" s="13"/>
      <c r="E253" s="85" t="str">
        <f>IFERROR(IF(D253="","",INDEX(Elements!J:J,MATCH(Design!D253,Elements!I:I,0))),SUBSTITUTE(D253," ",""))</f>
        <v/>
      </c>
      <c r="F253" s="13"/>
      <c r="G253" s="84" t="str">
        <f>IFERROR(IF(F253="","",INDEX(Elements!L:L,MATCH(Design!F253,Elements!K:K,0))),F253)</f>
        <v/>
      </c>
      <c r="H253" s="12"/>
      <c r="I253" s="14"/>
      <c r="J253" s="63" t="str">
        <f t="shared" ca="1" si="55"/>
        <v>columnHeaders</v>
      </c>
      <c r="K253" s="63">
        <f t="shared" ca="1" si="60"/>
        <v>0</v>
      </c>
      <c r="L253" s="63" t="str">
        <f ca="1">IF(K253="fontFamily","fontFamily",IF(K253="fontSize","fontSize",IFERROR(INDEX(Elements!M:M,MATCH(Design!J253&amp;"|"&amp;Design!K253,Elements!N:N,0)),"")))</f>
        <v/>
      </c>
      <c r="M253" s="65" t="str">
        <f ca="1">IF(OR(L253="",L253="fill"),"",MATCH(IF(L253="enumeration",J253&amp;"|"&amp;G253,Design!L253),Elements!N:N,0))</f>
        <v/>
      </c>
      <c r="N253" s="65" t="str">
        <f t="shared" si="51"/>
        <v/>
      </c>
      <c r="O253" s="65" t="str">
        <f ca="1">"Elements!"&amp;INDEX(Elements!H:H,MATCH(Design!J253,Elements!J:J,0))</f>
        <v>Elements!K36:K44</v>
      </c>
      <c r="P253" s="65" t="str">
        <f t="shared" ca="1" si="58"/>
        <v>"</v>
      </c>
      <c r="Q253" s="75" t="str">
        <f t="shared" si="62"/>
        <v/>
      </c>
      <c r="R253" s="5" t="str">
        <f t="shared" si="63"/>
        <v/>
      </c>
      <c r="S253" s="5" t="str">
        <f t="shared" si="61"/>
        <v/>
      </c>
      <c r="T253" s="76" t="str">
        <f t="shared" si="50"/>
        <v/>
      </c>
      <c r="U253" s="5">
        <f t="shared" si="59"/>
        <v>0</v>
      </c>
      <c r="V253" s="5">
        <f t="shared" si="56"/>
        <v>0</v>
      </c>
      <c r="W253" s="77" t="str">
        <f t="shared" si="52"/>
        <v/>
      </c>
      <c r="X253" s="65" t="str">
        <f t="shared" si="53"/>
        <v/>
      </c>
      <c r="Y253" s="78" t="str">
        <f t="shared" si="54"/>
        <v/>
      </c>
      <c r="Z253" s="21"/>
      <c r="AA253" s="138"/>
      <c r="AB253" s="21"/>
    </row>
    <row r="254" spans="1:28" x14ac:dyDescent="0.25">
      <c r="A254" s="21"/>
      <c r="B254" s="18"/>
      <c r="C254" s="85" t="str">
        <f>IF(B254="","",INDEX(Elements!B:B,MATCH(Design!B254,Elements!A:A,0)))</f>
        <v/>
      </c>
      <c r="D254" s="13"/>
      <c r="E254" s="85" t="str">
        <f>IFERROR(IF(D254="","",INDEX(Elements!J:J,MATCH(Design!D254,Elements!I:I,0))),SUBSTITUTE(D254," ",""))</f>
        <v/>
      </c>
      <c r="F254" s="13"/>
      <c r="G254" s="84" t="str">
        <f>IFERROR(IF(F254="","",INDEX(Elements!L:L,MATCH(Design!F254,Elements!K:K,0))),F254)</f>
        <v/>
      </c>
      <c r="H254" s="12"/>
      <c r="I254" s="14"/>
      <c r="J254" s="63" t="str">
        <f t="shared" ca="1" si="55"/>
        <v>columnHeaders</v>
      </c>
      <c r="K254" s="63">
        <f t="shared" ca="1" si="60"/>
        <v>0</v>
      </c>
      <c r="L254" s="63" t="str">
        <f ca="1">IF(K254="fontFamily","fontFamily",IF(K254="fontSize","fontSize",IFERROR(INDEX(Elements!M:M,MATCH(Design!J254&amp;"|"&amp;Design!K254,Elements!N:N,0)),"")))</f>
        <v/>
      </c>
      <c r="M254" s="65" t="str">
        <f ca="1">IF(OR(L254="",L254="fill"),"",MATCH(IF(L254="enumeration",J254&amp;"|"&amp;G254,Design!L254),Elements!N:N,0))</f>
        <v/>
      </c>
      <c r="N254" s="65" t="str">
        <f t="shared" si="51"/>
        <v/>
      </c>
      <c r="O254" s="65" t="str">
        <f ca="1">"Elements!"&amp;INDEX(Elements!H:H,MATCH(Design!J254,Elements!J:J,0))</f>
        <v>Elements!K36:K44</v>
      </c>
      <c r="P254" s="65" t="str">
        <f t="shared" ca="1" si="58"/>
        <v>"</v>
      </c>
      <c r="Q254" s="75" t="str">
        <f t="shared" si="62"/>
        <v/>
      </c>
      <c r="R254" s="5" t="str">
        <f t="shared" si="63"/>
        <v/>
      </c>
      <c r="S254" s="5" t="str">
        <f t="shared" si="61"/>
        <v/>
      </c>
      <c r="T254" s="76" t="str">
        <f t="shared" si="50"/>
        <v/>
      </c>
      <c r="U254" s="5">
        <f t="shared" si="59"/>
        <v>0</v>
      </c>
      <c r="V254" s="5">
        <f t="shared" si="56"/>
        <v>0</v>
      </c>
      <c r="W254" s="77" t="str">
        <f t="shared" si="52"/>
        <v/>
      </c>
      <c r="X254" s="65" t="str">
        <f t="shared" si="53"/>
        <v/>
      </c>
      <c r="Y254" s="78" t="str">
        <f t="shared" si="54"/>
        <v/>
      </c>
      <c r="Z254" s="21"/>
      <c r="AA254" s="138"/>
      <c r="AB254" s="21"/>
    </row>
    <row r="255" spans="1:28" x14ac:dyDescent="0.25">
      <c r="A255" s="21"/>
      <c r="B255" s="18"/>
      <c r="C255" s="85" t="str">
        <f>IF(B255="","",INDEX(Elements!B:B,MATCH(Design!B255,Elements!A:A,0)))</f>
        <v/>
      </c>
      <c r="D255" s="13"/>
      <c r="E255" s="85" t="str">
        <f>IFERROR(IF(D255="","",INDEX(Elements!J:J,MATCH(Design!D255,Elements!I:I,0))),SUBSTITUTE(D255," ",""))</f>
        <v/>
      </c>
      <c r="F255" s="13"/>
      <c r="G255" s="84" t="str">
        <f>IFERROR(IF(F255="","",INDEX(Elements!L:L,MATCH(Design!F255,Elements!K:K,0))),F255)</f>
        <v/>
      </c>
      <c r="H255" s="12"/>
      <c r="I255" s="14"/>
      <c r="J255" s="63" t="str">
        <f t="shared" ca="1" si="55"/>
        <v>columnHeaders</v>
      </c>
      <c r="K255" s="63">
        <f t="shared" ca="1" si="60"/>
        <v>0</v>
      </c>
      <c r="L255" s="63" t="str">
        <f ca="1">IF(K255="fontFamily","fontFamily",IF(K255="fontSize","fontSize",IFERROR(INDEX(Elements!M:M,MATCH(Design!J255&amp;"|"&amp;Design!K255,Elements!N:N,0)),"")))</f>
        <v/>
      </c>
      <c r="M255" s="65" t="str">
        <f ca="1">IF(OR(L255="",L255="fill"),"",MATCH(IF(L255="enumeration",J255&amp;"|"&amp;G255,Design!L255),Elements!N:N,0))</f>
        <v/>
      </c>
      <c r="N255" s="65" t="str">
        <f t="shared" si="51"/>
        <v/>
      </c>
      <c r="O255" s="65" t="str">
        <f ca="1">"Elements!"&amp;INDEX(Elements!H:H,MATCH(Design!J255,Elements!J:J,0))</f>
        <v>Elements!K36:K44</v>
      </c>
      <c r="P255" s="65" t="str">
        <f t="shared" ca="1" si="58"/>
        <v>"</v>
      </c>
      <c r="Q255" s="75" t="str">
        <f t="shared" si="62"/>
        <v/>
      </c>
      <c r="R255" s="5" t="str">
        <f t="shared" si="63"/>
        <v/>
      </c>
      <c r="S255" s="5" t="str">
        <f t="shared" si="61"/>
        <v/>
      </c>
      <c r="T255" s="76" t="str">
        <f t="shared" ref="T255:T318" si="64">R255&amp;S255&amp;Q255</f>
        <v/>
      </c>
      <c r="U255" s="5">
        <f t="shared" si="59"/>
        <v>0</v>
      </c>
      <c r="V255" s="5">
        <f t="shared" si="56"/>
        <v>0</v>
      </c>
      <c r="W255" s="77" t="str">
        <f t="shared" si="52"/>
        <v/>
      </c>
      <c r="X255" s="65" t="str">
        <f t="shared" si="53"/>
        <v/>
      </c>
      <c r="Y255" s="78" t="str">
        <f t="shared" si="54"/>
        <v/>
      </c>
      <c r="Z255" s="21"/>
      <c r="AA255" s="138"/>
      <c r="AB255" s="21"/>
    </row>
    <row r="256" spans="1:28" x14ac:dyDescent="0.25">
      <c r="A256" s="21"/>
      <c r="B256" s="18"/>
      <c r="C256" s="85" t="str">
        <f>IF(B256="","",INDEX(Elements!B:B,MATCH(Design!B256,Elements!A:A,0)))</f>
        <v/>
      </c>
      <c r="D256" s="13"/>
      <c r="E256" s="85" t="str">
        <f>IFERROR(IF(D256="","",INDEX(Elements!J:J,MATCH(Design!D256,Elements!I:I,0))),SUBSTITUTE(D256," ",""))</f>
        <v/>
      </c>
      <c r="F256" s="13"/>
      <c r="G256" s="84" t="str">
        <f>IFERROR(IF(F256="","",INDEX(Elements!L:L,MATCH(Design!F256,Elements!K:K,0))),F256)</f>
        <v/>
      </c>
      <c r="H256" s="12"/>
      <c r="I256" s="14"/>
      <c r="J256" s="63" t="str">
        <f t="shared" ca="1" si="55"/>
        <v>columnHeaders</v>
      </c>
      <c r="K256" s="63">
        <f t="shared" ca="1" si="60"/>
        <v>0</v>
      </c>
      <c r="L256" s="63" t="str">
        <f ca="1">IF(K256="fontFamily","fontFamily",IF(K256="fontSize","fontSize",IFERROR(INDEX(Elements!M:M,MATCH(Design!J256&amp;"|"&amp;Design!K256,Elements!N:N,0)),"")))</f>
        <v/>
      </c>
      <c r="M256" s="65" t="str">
        <f ca="1">IF(OR(L256="",L256="fill"),"",MATCH(IF(L256="enumeration",J256&amp;"|"&amp;G256,Design!L256),Elements!N:N,0))</f>
        <v/>
      </c>
      <c r="N256" s="65" t="str">
        <f t="shared" si="51"/>
        <v/>
      </c>
      <c r="O256" s="65" t="str">
        <f ca="1">"Elements!"&amp;INDEX(Elements!H:H,MATCH(Design!J256,Elements!J:J,0))</f>
        <v>Elements!K36:K44</v>
      </c>
      <c r="P256" s="65" t="str">
        <f t="shared" ca="1" si="58"/>
        <v>"</v>
      </c>
      <c r="Q256" s="75" t="str">
        <f t="shared" si="62"/>
        <v/>
      </c>
      <c r="R256" s="5" t="str">
        <f t="shared" si="63"/>
        <v/>
      </c>
      <c r="S256" s="5" t="str">
        <f t="shared" si="61"/>
        <v/>
      </c>
      <c r="T256" s="76" t="str">
        <f t="shared" si="64"/>
        <v/>
      </c>
      <c r="U256" s="5">
        <f t="shared" si="59"/>
        <v>0</v>
      </c>
      <c r="V256" s="5">
        <f t="shared" si="56"/>
        <v>0</v>
      </c>
      <c r="W256" s="77" t="str">
        <f t="shared" si="52"/>
        <v/>
      </c>
      <c r="X256" s="65" t="str">
        <f t="shared" si="53"/>
        <v/>
      </c>
      <c r="Y256" s="78" t="str">
        <f t="shared" si="54"/>
        <v/>
      </c>
      <c r="Z256" s="21"/>
      <c r="AA256" s="138"/>
      <c r="AB256" s="21"/>
    </row>
    <row r="257" spans="1:28" x14ac:dyDescent="0.25">
      <c r="A257" s="21"/>
      <c r="B257" s="18"/>
      <c r="C257" s="85" t="str">
        <f>IF(B257="","",INDEX(Elements!B:B,MATCH(Design!B257,Elements!A:A,0)))</f>
        <v/>
      </c>
      <c r="D257" s="13"/>
      <c r="E257" s="85" t="str">
        <f>IFERROR(IF(D257="","",INDEX(Elements!J:J,MATCH(Design!D257,Elements!I:I,0))),SUBSTITUTE(D257," ",""))</f>
        <v/>
      </c>
      <c r="F257" s="13"/>
      <c r="G257" s="84" t="str">
        <f>IFERROR(IF(F257="","",INDEX(Elements!L:L,MATCH(Design!F257,Elements!K:K,0))),F257)</f>
        <v/>
      </c>
      <c r="H257" s="12"/>
      <c r="I257" s="14"/>
      <c r="J257" s="63" t="str">
        <f t="shared" ca="1" si="55"/>
        <v>columnHeaders</v>
      </c>
      <c r="K257" s="63">
        <f t="shared" ca="1" si="60"/>
        <v>0</v>
      </c>
      <c r="L257" s="63" t="str">
        <f ca="1">IF(K257="fontFamily","fontFamily",IF(K257="fontSize","fontSize",IFERROR(INDEX(Elements!M:M,MATCH(Design!J257&amp;"|"&amp;Design!K257,Elements!N:N,0)),"")))</f>
        <v/>
      </c>
      <c r="M257" s="65" t="str">
        <f ca="1">IF(OR(L257="",L257="fill"),"",MATCH(IF(L257="enumeration",J257&amp;"|"&amp;G257,Design!L257),Elements!N:N,0))</f>
        <v/>
      </c>
      <c r="N257" s="65" t="str">
        <f t="shared" si="51"/>
        <v/>
      </c>
      <c r="O257" s="65" t="str">
        <f ca="1">"Elements!"&amp;INDEX(Elements!H:H,MATCH(Design!J257,Elements!J:J,0))</f>
        <v>Elements!K36:K44</v>
      </c>
      <c r="P257" s="65" t="str">
        <f t="shared" ca="1" si="58"/>
        <v>"</v>
      </c>
      <c r="Q257" s="75" t="str">
        <f t="shared" si="62"/>
        <v/>
      </c>
      <c r="R257" s="5" t="str">
        <f t="shared" si="63"/>
        <v/>
      </c>
      <c r="S257" s="5" t="str">
        <f t="shared" si="61"/>
        <v/>
      </c>
      <c r="T257" s="76" t="str">
        <f t="shared" si="64"/>
        <v/>
      </c>
      <c r="U257" s="5">
        <f t="shared" si="59"/>
        <v>0</v>
      </c>
      <c r="V257" s="5">
        <f t="shared" si="56"/>
        <v>0</v>
      </c>
      <c r="W257" s="77" t="str">
        <f t="shared" si="52"/>
        <v/>
      </c>
      <c r="X257" s="65" t="str">
        <f t="shared" si="53"/>
        <v/>
      </c>
      <c r="Y257" s="78" t="str">
        <f t="shared" si="54"/>
        <v/>
      </c>
      <c r="Z257" s="21"/>
      <c r="AA257" s="138"/>
      <c r="AB257" s="21"/>
    </row>
    <row r="258" spans="1:28" x14ac:dyDescent="0.25">
      <c r="A258" s="21"/>
      <c r="B258" s="18"/>
      <c r="C258" s="85" t="str">
        <f>IF(B258="","",INDEX(Elements!B:B,MATCH(Design!B258,Elements!A:A,0)))</f>
        <v/>
      </c>
      <c r="D258" s="13"/>
      <c r="E258" s="85" t="str">
        <f>IFERROR(IF(D258="","",INDEX(Elements!J:J,MATCH(Design!D258,Elements!I:I,0))),SUBSTITUTE(D258," ",""))</f>
        <v/>
      </c>
      <c r="F258" s="13"/>
      <c r="G258" s="84" t="str">
        <f>IFERROR(IF(F258="","",INDEX(Elements!L:L,MATCH(Design!F258,Elements!K:K,0))),F258)</f>
        <v/>
      </c>
      <c r="H258" s="12"/>
      <c r="I258" s="14"/>
      <c r="J258" s="63" t="str">
        <f t="shared" ca="1" si="55"/>
        <v>columnHeaders</v>
      </c>
      <c r="K258" s="63">
        <f t="shared" ca="1" si="60"/>
        <v>0</v>
      </c>
      <c r="L258" s="63" t="str">
        <f ca="1">IF(K258="fontFamily","fontFamily",IF(K258="fontSize","fontSize",IFERROR(INDEX(Elements!M:M,MATCH(Design!J258&amp;"|"&amp;Design!K258,Elements!N:N,0)),"")))</f>
        <v/>
      </c>
      <c r="M258" s="65" t="str">
        <f ca="1">IF(OR(L258="",L258="fill"),"",MATCH(IF(L258="enumeration",J258&amp;"|"&amp;G258,Design!L258),Elements!N:N,0))</f>
        <v/>
      </c>
      <c r="N258" s="65" t="str">
        <f t="shared" si="51"/>
        <v/>
      </c>
      <c r="O258" s="65" t="str">
        <f ca="1">"Elements!"&amp;INDEX(Elements!H:H,MATCH(Design!J258,Elements!J:J,0))</f>
        <v>Elements!K36:K44</v>
      </c>
      <c r="P258" s="65" t="str">
        <f t="shared" ca="1" si="58"/>
        <v>"</v>
      </c>
      <c r="Q258" s="75" t="str">
        <f t="shared" si="62"/>
        <v/>
      </c>
      <c r="R258" s="5" t="str">
        <f t="shared" si="63"/>
        <v/>
      </c>
      <c r="S258" s="5" t="str">
        <f t="shared" si="61"/>
        <v/>
      </c>
      <c r="T258" s="76" t="str">
        <f t="shared" si="64"/>
        <v/>
      </c>
      <c r="U258" s="5">
        <f t="shared" si="59"/>
        <v>0</v>
      </c>
      <c r="V258" s="5">
        <f t="shared" si="56"/>
        <v>0</v>
      </c>
      <c r="W258" s="77" t="str">
        <f t="shared" si="52"/>
        <v/>
      </c>
      <c r="X258" s="65" t="str">
        <f t="shared" si="53"/>
        <v/>
      </c>
      <c r="Y258" s="78" t="str">
        <f t="shared" si="54"/>
        <v/>
      </c>
      <c r="Z258" s="21"/>
      <c r="AA258" s="138"/>
      <c r="AB258" s="21"/>
    </row>
    <row r="259" spans="1:28" x14ac:dyDescent="0.25">
      <c r="A259" s="21"/>
      <c r="B259" s="18"/>
      <c r="C259" s="85" t="str">
        <f>IF(B259="","",INDEX(Elements!B:B,MATCH(Design!B259,Elements!A:A,0)))</f>
        <v/>
      </c>
      <c r="D259" s="13"/>
      <c r="E259" s="85" t="str">
        <f>IFERROR(IF(D259="","",INDEX(Elements!J:J,MATCH(Design!D259,Elements!I:I,0))),SUBSTITUTE(D259," ",""))</f>
        <v/>
      </c>
      <c r="F259" s="13"/>
      <c r="G259" s="84" t="str">
        <f>IFERROR(IF(F259="","",INDEX(Elements!L:L,MATCH(Design!F259,Elements!K:K,0))),F259)</f>
        <v/>
      </c>
      <c r="H259" s="12"/>
      <c r="I259" s="14"/>
      <c r="J259" s="63" t="str">
        <f t="shared" ca="1" si="55"/>
        <v>columnHeaders</v>
      </c>
      <c r="K259" s="63">
        <f t="shared" ca="1" si="60"/>
        <v>0</v>
      </c>
      <c r="L259" s="63" t="str">
        <f ca="1">IF(K259="fontFamily","fontFamily",IF(K259="fontSize","fontSize",IFERROR(INDEX(Elements!M:M,MATCH(Design!J259&amp;"|"&amp;Design!K259,Elements!N:N,0)),"")))</f>
        <v/>
      </c>
      <c r="M259" s="65" t="str">
        <f ca="1">IF(OR(L259="",L259="fill"),"",MATCH(IF(L259="enumeration",J259&amp;"|"&amp;G259,Design!L259),Elements!N:N,0))</f>
        <v/>
      </c>
      <c r="N259" s="65" t="str">
        <f t="shared" si="51"/>
        <v/>
      </c>
      <c r="O259" s="65" t="str">
        <f ca="1">"Elements!"&amp;INDEX(Elements!H:H,MATCH(Design!J259,Elements!J:J,0))</f>
        <v>Elements!K36:K44</v>
      </c>
      <c r="P259" s="65" t="str">
        <f t="shared" ca="1" si="58"/>
        <v>"</v>
      </c>
      <c r="Q259" s="75" t="str">
        <f t="shared" si="62"/>
        <v/>
      </c>
      <c r="R259" s="5" t="str">
        <f t="shared" si="63"/>
        <v/>
      </c>
      <c r="S259" s="5" t="str">
        <f t="shared" si="61"/>
        <v/>
      </c>
      <c r="T259" s="76" t="str">
        <f t="shared" si="64"/>
        <v/>
      </c>
      <c r="U259" s="5">
        <f t="shared" si="59"/>
        <v>0</v>
      </c>
      <c r="V259" s="5">
        <f t="shared" si="56"/>
        <v>0</v>
      </c>
      <c r="W259" s="77" t="str">
        <f t="shared" si="52"/>
        <v/>
      </c>
      <c r="X259" s="65" t="str">
        <f t="shared" si="53"/>
        <v/>
      </c>
      <c r="Y259" s="78" t="str">
        <f t="shared" si="54"/>
        <v/>
      </c>
      <c r="Z259" s="21"/>
      <c r="AA259" s="138"/>
      <c r="AB259" s="21"/>
    </row>
    <row r="260" spans="1:28" x14ac:dyDescent="0.25">
      <c r="A260" s="21"/>
      <c r="B260" s="18"/>
      <c r="C260" s="85" t="str">
        <f>IF(B260="","",INDEX(Elements!B:B,MATCH(Design!B260,Elements!A:A,0)))</f>
        <v/>
      </c>
      <c r="D260" s="13"/>
      <c r="E260" s="85" t="str">
        <f>IFERROR(IF(D260="","",INDEX(Elements!J:J,MATCH(Design!D260,Elements!I:I,0))),SUBSTITUTE(D260," ",""))</f>
        <v/>
      </c>
      <c r="F260" s="13"/>
      <c r="G260" s="84" t="str">
        <f>IFERROR(IF(F260="","",INDEX(Elements!L:L,MATCH(Design!F260,Elements!K:K,0))),F260)</f>
        <v/>
      </c>
      <c r="H260" s="12"/>
      <c r="I260" s="14"/>
      <c r="J260" s="63" t="str">
        <f t="shared" ca="1" si="55"/>
        <v>columnHeaders</v>
      </c>
      <c r="K260" s="63">
        <f t="shared" ca="1" si="60"/>
        <v>0</v>
      </c>
      <c r="L260" s="63" t="str">
        <f ca="1">IF(K260="fontFamily","fontFamily",IF(K260="fontSize","fontSize",IFERROR(INDEX(Elements!M:M,MATCH(Design!J260&amp;"|"&amp;Design!K260,Elements!N:N,0)),"")))</f>
        <v/>
      </c>
      <c r="M260" s="65" t="str">
        <f ca="1">IF(OR(L260="",L260="fill"),"",MATCH(IF(L260="enumeration",J260&amp;"|"&amp;G260,Design!L260),Elements!N:N,0))</f>
        <v/>
      </c>
      <c r="N260" s="65" t="str">
        <f t="shared" si="51"/>
        <v/>
      </c>
      <c r="O260" s="65" t="str">
        <f ca="1">"Elements!"&amp;INDEX(Elements!H:H,MATCH(Design!J260,Elements!J:J,0))</f>
        <v>Elements!K36:K44</v>
      </c>
      <c r="P260" s="65" t="str">
        <f t="shared" ca="1" si="58"/>
        <v>"</v>
      </c>
      <c r="Q260" s="75" t="str">
        <f t="shared" si="62"/>
        <v/>
      </c>
      <c r="R260" s="5" t="str">
        <f t="shared" si="63"/>
        <v/>
      </c>
      <c r="S260" s="5" t="str">
        <f t="shared" si="61"/>
        <v/>
      </c>
      <c r="T260" s="76" t="str">
        <f t="shared" si="64"/>
        <v/>
      </c>
      <c r="U260" s="5">
        <f t="shared" si="59"/>
        <v>0</v>
      </c>
      <c r="V260" s="5">
        <f t="shared" si="56"/>
        <v>0</v>
      </c>
      <c r="W260" s="77" t="str">
        <f t="shared" si="52"/>
        <v/>
      </c>
      <c r="X260" s="65" t="str">
        <f t="shared" si="53"/>
        <v/>
      </c>
      <c r="Y260" s="78" t="str">
        <f t="shared" si="54"/>
        <v/>
      </c>
      <c r="Z260" s="21"/>
      <c r="AA260" s="138"/>
      <c r="AB260" s="21"/>
    </row>
    <row r="261" spans="1:28" x14ac:dyDescent="0.25">
      <c r="A261" s="21"/>
      <c r="B261" s="18"/>
      <c r="C261" s="85" t="str">
        <f>IF(B261="","",INDEX(Elements!B:B,MATCH(Design!B261,Elements!A:A,0)))</f>
        <v/>
      </c>
      <c r="D261" s="13"/>
      <c r="E261" s="85" t="str">
        <f>IFERROR(IF(D261="","",INDEX(Elements!J:J,MATCH(Design!D261,Elements!I:I,0))),SUBSTITUTE(D261," ",""))</f>
        <v/>
      </c>
      <c r="F261" s="13"/>
      <c r="G261" s="84" t="str">
        <f>IFERROR(IF(F261="","",INDEX(Elements!L:L,MATCH(Design!F261,Elements!K:K,0))),F261)</f>
        <v/>
      </c>
      <c r="H261" s="12"/>
      <c r="I261" s="14"/>
      <c r="J261" s="63" t="str">
        <f t="shared" ca="1" si="55"/>
        <v>columnHeaders</v>
      </c>
      <c r="K261" s="63">
        <f t="shared" ca="1" si="60"/>
        <v>0</v>
      </c>
      <c r="L261" s="63" t="str">
        <f ca="1">IF(K261="fontFamily","fontFamily",IF(K261="fontSize","fontSize",IFERROR(INDEX(Elements!M:M,MATCH(Design!J261&amp;"|"&amp;Design!K261,Elements!N:N,0)),"")))</f>
        <v/>
      </c>
      <c r="M261" s="65" t="str">
        <f ca="1">IF(OR(L261="",L261="fill"),"",MATCH(IF(L261="enumeration",J261&amp;"|"&amp;G261,Design!L261),Elements!N:N,0))</f>
        <v/>
      </c>
      <c r="N261" s="65" t="str">
        <f t="shared" si="51"/>
        <v/>
      </c>
      <c r="O261" s="65" t="str">
        <f ca="1">"Elements!"&amp;INDEX(Elements!H:H,MATCH(Design!J261,Elements!J:J,0))</f>
        <v>Elements!K36:K44</v>
      </c>
      <c r="P261" s="65" t="str">
        <f t="shared" ca="1" si="58"/>
        <v>"</v>
      </c>
      <c r="Q261" s="75" t="str">
        <f t="shared" si="62"/>
        <v/>
      </c>
      <c r="R261" s="5" t="str">
        <f t="shared" si="63"/>
        <v/>
      </c>
      <c r="S261" s="5" t="str">
        <f t="shared" si="61"/>
        <v/>
      </c>
      <c r="T261" s="76" t="str">
        <f t="shared" si="64"/>
        <v/>
      </c>
      <c r="U261" s="5">
        <f t="shared" si="59"/>
        <v>0</v>
      </c>
      <c r="V261" s="5">
        <f t="shared" si="56"/>
        <v>0</v>
      </c>
      <c r="W261" s="77" t="str">
        <f t="shared" si="52"/>
        <v/>
      </c>
      <c r="X261" s="65" t="str">
        <f t="shared" si="53"/>
        <v/>
      </c>
      <c r="Y261" s="78" t="str">
        <f t="shared" si="54"/>
        <v/>
      </c>
      <c r="Z261" s="21"/>
      <c r="AA261" s="138"/>
      <c r="AB261" s="21"/>
    </row>
    <row r="262" spans="1:28" x14ac:dyDescent="0.25">
      <c r="A262" s="21"/>
      <c r="B262" s="18"/>
      <c r="C262" s="85" t="str">
        <f>IF(B262="","",INDEX(Elements!B:B,MATCH(Design!B262,Elements!A:A,0)))</f>
        <v/>
      </c>
      <c r="D262" s="13"/>
      <c r="E262" s="85" t="str">
        <f>IFERROR(IF(D262="","",INDEX(Elements!J:J,MATCH(Design!D262,Elements!I:I,0))),SUBSTITUTE(D262," ",""))</f>
        <v/>
      </c>
      <c r="F262" s="13"/>
      <c r="G262" s="84" t="str">
        <f>IFERROR(IF(F262="","",INDEX(Elements!L:L,MATCH(Design!F262,Elements!K:K,0))),F262)</f>
        <v/>
      </c>
      <c r="H262" s="12"/>
      <c r="I262" s="14"/>
      <c r="J262" s="63" t="str">
        <f t="shared" ca="1" si="55"/>
        <v>columnHeaders</v>
      </c>
      <c r="K262" s="63">
        <f t="shared" ca="1" si="60"/>
        <v>0</v>
      </c>
      <c r="L262" s="63" t="str">
        <f ca="1">IF(K262="fontFamily","fontFamily",IF(K262="fontSize","fontSize",IFERROR(INDEX(Elements!M:M,MATCH(Design!J262&amp;"|"&amp;Design!K262,Elements!N:N,0)),"")))</f>
        <v/>
      </c>
      <c r="M262" s="65" t="str">
        <f ca="1">IF(OR(L262="",L262="fill"),"",MATCH(IF(L262="enumeration",J262&amp;"|"&amp;G262,Design!L262),Elements!N:N,0))</f>
        <v/>
      </c>
      <c r="N262" s="65" t="str">
        <f t="shared" si="51"/>
        <v/>
      </c>
      <c r="O262" s="65" t="str">
        <f ca="1">"Elements!"&amp;INDEX(Elements!H:H,MATCH(Design!J262,Elements!J:J,0))</f>
        <v>Elements!K36:K44</v>
      </c>
      <c r="P262" s="65" t="str">
        <f t="shared" ca="1" si="58"/>
        <v>"</v>
      </c>
      <c r="Q262" s="75" t="str">
        <f t="shared" si="62"/>
        <v/>
      </c>
      <c r="R262" s="5" t="str">
        <f t="shared" si="63"/>
        <v/>
      </c>
      <c r="S262" s="5" t="str">
        <f t="shared" si="61"/>
        <v/>
      </c>
      <c r="T262" s="76" t="str">
        <f t="shared" si="64"/>
        <v/>
      </c>
      <c r="U262" s="5">
        <f t="shared" si="59"/>
        <v>0</v>
      </c>
      <c r="V262" s="5">
        <f t="shared" si="56"/>
        <v>0</v>
      </c>
      <c r="W262" s="77" t="str">
        <f t="shared" si="52"/>
        <v/>
      </c>
      <c r="X262" s="65" t="str">
        <f t="shared" si="53"/>
        <v/>
      </c>
      <c r="Y262" s="78" t="str">
        <f t="shared" si="54"/>
        <v/>
      </c>
      <c r="Z262" s="21"/>
      <c r="AA262" s="138"/>
      <c r="AB262" s="21"/>
    </row>
    <row r="263" spans="1:28" x14ac:dyDescent="0.25">
      <c r="A263" s="21"/>
      <c r="B263" s="18"/>
      <c r="C263" s="85" t="str">
        <f>IF(B263="","",INDEX(Elements!B:B,MATCH(Design!B263,Elements!A:A,0)))</f>
        <v/>
      </c>
      <c r="D263" s="13"/>
      <c r="E263" s="85" t="str">
        <f>IFERROR(IF(D263="","",INDEX(Elements!J:J,MATCH(Design!D263,Elements!I:I,0))),SUBSTITUTE(D263," ",""))</f>
        <v/>
      </c>
      <c r="F263" s="13"/>
      <c r="G263" s="84" t="str">
        <f>IFERROR(IF(F263="","",INDEX(Elements!L:L,MATCH(Design!F263,Elements!K:K,0))),F263)</f>
        <v/>
      </c>
      <c r="H263" s="12"/>
      <c r="I263" s="14"/>
      <c r="J263" s="63" t="str">
        <f t="shared" ca="1" si="55"/>
        <v>columnHeaders</v>
      </c>
      <c r="K263" s="63">
        <f t="shared" ca="1" si="60"/>
        <v>0</v>
      </c>
      <c r="L263" s="63" t="str">
        <f ca="1">IF(K263="fontFamily","fontFamily",IF(K263="fontSize","fontSize",IFERROR(INDEX(Elements!M:M,MATCH(Design!J263&amp;"|"&amp;Design!K263,Elements!N:N,0)),"")))</f>
        <v/>
      </c>
      <c r="M263" s="65" t="str">
        <f ca="1">IF(OR(L263="",L263="fill"),"",MATCH(IF(L263="enumeration",J263&amp;"|"&amp;G263,Design!L263),Elements!N:N,0))</f>
        <v/>
      </c>
      <c r="N263" s="65" t="str">
        <f t="shared" si="51"/>
        <v/>
      </c>
      <c r="O263" s="65" t="str">
        <f ca="1">"Elements!"&amp;INDEX(Elements!H:H,MATCH(Design!J263,Elements!J:J,0))</f>
        <v>Elements!K36:K44</v>
      </c>
      <c r="P263" s="65" t="str">
        <f t="shared" ca="1" si="58"/>
        <v>"</v>
      </c>
      <c r="Q263" s="75" t="str">
        <f t="shared" si="62"/>
        <v/>
      </c>
      <c r="R263" s="5" t="str">
        <f t="shared" si="63"/>
        <v/>
      </c>
      <c r="S263" s="5" t="str">
        <f t="shared" si="61"/>
        <v/>
      </c>
      <c r="T263" s="76" t="str">
        <f t="shared" si="64"/>
        <v/>
      </c>
      <c r="U263" s="5">
        <f t="shared" si="59"/>
        <v>0</v>
      </c>
      <c r="V263" s="5">
        <f t="shared" si="56"/>
        <v>0</v>
      </c>
      <c r="W263" s="77" t="str">
        <f t="shared" si="52"/>
        <v/>
      </c>
      <c r="X263" s="65" t="str">
        <f t="shared" si="53"/>
        <v/>
      </c>
      <c r="Y263" s="78" t="str">
        <f t="shared" si="54"/>
        <v/>
      </c>
      <c r="Z263" s="21"/>
      <c r="AA263" s="138"/>
      <c r="AB263" s="21"/>
    </row>
    <row r="264" spans="1:28" x14ac:dyDescent="0.25">
      <c r="A264" s="21"/>
      <c r="B264" s="18"/>
      <c r="C264" s="85" t="str">
        <f>IF(B264="","",INDEX(Elements!B:B,MATCH(Design!B264,Elements!A:A,0)))</f>
        <v/>
      </c>
      <c r="D264" s="13"/>
      <c r="E264" s="85" t="str">
        <f>IFERROR(IF(D264="","",INDEX(Elements!J:J,MATCH(Design!D264,Elements!I:I,0))),SUBSTITUTE(D264," ",""))</f>
        <v/>
      </c>
      <c r="F264" s="13"/>
      <c r="G264" s="84" t="str">
        <f>IFERROR(IF(F264="","",INDEX(Elements!L:L,MATCH(Design!F264,Elements!K:K,0))),F264)</f>
        <v/>
      </c>
      <c r="H264" s="12"/>
      <c r="I264" s="14"/>
      <c r="J264" s="63" t="str">
        <f t="shared" ca="1" si="55"/>
        <v>columnHeaders</v>
      </c>
      <c r="K264" s="63">
        <f t="shared" ca="1" si="60"/>
        <v>0</v>
      </c>
      <c r="L264" s="63" t="str">
        <f ca="1">IF(K264="fontFamily","fontFamily",IF(K264="fontSize","fontSize",IFERROR(INDEX(Elements!M:M,MATCH(Design!J264&amp;"|"&amp;Design!K264,Elements!N:N,0)),"")))</f>
        <v/>
      </c>
      <c r="M264" s="65" t="str">
        <f ca="1">IF(OR(L264="",L264="fill"),"",MATCH(IF(L264="enumeration",J264&amp;"|"&amp;G264,Design!L264),Elements!N:N,0))</f>
        <v/>
      </c>
      <c r="N264" s="65" t="str">
        <f t="shared" si="51"/>
        <v/>
      </c>
      <c r="O264" s="65" t="str">
        <f ca="1">"Elements!"&amp;INDEX(Elements!H:H,MATCH(Design!J264,Elements!J:J,0))</f>
        <v>Elements!K36:K44</v>
      </c>
      <c r="P264" s="65" t="str">
        <f t="shared" ca="1" si="58"/>
        <v>"</v>
      </c>
      <c r="Q264" s="75" t="str">
        <f t="shared" si="62"/>
        <v/>
      </c>
      <c r="R264" s="5" t="str">
        <f t="shared" si="63"/>
        <v/>
      </c>
      <c r="S264" s="5" t="str">
        <f t="shared" si="61"/>
        <v/>
      </c>
      <c r="T264" s="76" t="str">
        <f t="shared" si="64"/>
        <v/>
      </c>
      <c r="U264" s="5">
        <f t="shared" si="59"/>
        <v>0</v>
      </c>
      <c r="V264" s="5">
        <f t="shared" si="56"/>
        <v>0</v>
      </c>
      <c r="W264" s="77" t="str">
        <f t="shared" si="52"/>
        <v/>
      </c>
      <c r="X264" s="65" t="str">
        <f t="shared" si="53"/>
        <v/>
      </c>
      <c r="Y264" s="78" t="str">
        <f t="shared" si="54"/>
        <v/>
      </c>
      <c r="Z264" s="21"/>
      <c r="AA264" s="138"/>
      <c r="AB264" s="21"/>
    </row>
    <row r="265" spans="1:28" x14ac:dyDescent="0.25">
      <c r="A265" s="21"/>
      <c r="B265" s="18"/>
      <c r="C265" s="85" t="str">
        <f>IF(B265="","",INDEX(Elements!B:B,MATCH(Design!B265,Elements!A:A,0)))</f>
        <v/>
      </c>
      <c r="D265" s="13"/>
      <c r="E265" s="85" t="str">
        <f>IFERROR(IF(D265="","",INDEX(Elements!J:J,MATCH(Design!D265,Elements!I:I,0))),SUBSTITUTE(D265," ",""))</f>
        <v/>
      </c>
      <c r="F265" s="13"/>
      <c r="G265" s="84" t="str">
        <f>IFERROR(IF(F265="","",INDEX(Elements!L:L,MATCH(Design!F265,Elements!K:K,0))),F265)</f>
        <v/>
      </c>
      <c r="H265" s="12"/>
      <c r="I265" s="14"/>
      <c r="J265" s="63" t="str">
        <f t="shared" ca="1" si="55"/>
        <v>columnHeaders</v>
      </c>
      <c r="K265" s="63">
        <f t="shared" ca="1" si="60"/>
        <v>0</v>
      </c>
      <c r="L265" s="63" t="str">
        <f ca="1">IF(K265="fontFamily","fontFamily",IF(K265="fontSize","fontSize",IFERROR(INDEX(Elements!M:M,MATCH(Design!J265&amp;"|"&amp;Design!K265,Elements!N:N,0)),"")))</f>
        <v/>
      </c>
      <c r="M265" s="65" t="str">
        <f ca="1">IF(OR(L265="",L265="fill"),"",MATCH(IF(L265="enumeration",J265&amp;"|"&amp;G265,Design!L265),Elements!N:N,0))</f>
        <v/>
      </c>
      <c r="N265" s="65" t="str">
        <f t="shared" si="51"/>
        <v/>
      </c>
      <c r="O265" s="65" t="str">
        <f ca="1">"Elements!"&amp;INDEX(Elements!H:H,MATCH(Design!J265,Elements!J:J,0))</f>
        <v>Elements!K36:K44</v>
      </c>
      <c r="P265" s="65" t="str">
        <f t="shared" ca="1" si="58"/>
        <v>"</v>
      </c>
      <c r="Q265" s="75" t="str">
        <f t="shared" si="62"/>
        <v/>
      </c>
      <c r="R265" s="5" t="str">
        <f t="shared" si="63"/>
        <v/>
      </c>
      <c r="S265" s="5" t="str">
        <f t="shared" si="61"/>
        <v/>
      </c>
      <c r="T265" s="76" t="str">
        <f t="shared" si="64"/>
        <v/>
      </c>
      <c r="U265" s="5">
        <f t="shared" si="59"/>
        <v>0</v>
      </c>
      <c r="V265" s="5">
        <f t="shared" si="56"/>
        <v>0</v>
      </c>
      <c r="W265" s="77" t="str">
        <f t="shared" si="52"/>
        <v/>
      </c>
      <c r="X265" s="65" t="str">
        <f t="shared" si="53"/>
        <v/>
      </c>
      <c r="Y265" s="78" t="str">
        <f t="shared" si="54"/>
        <v/>
      </c>
      <c r="Z265" s="21"/>
      <c r="AA265" s="138"/>
      <c r="AB265" s="21"/>
    </row>
    <row r="266" spans="1:28" x14ac:dyDescent="0.25">
      <c r="A266" s="21"/>
      <c r="B266" s="18"/>
      <c r="C266" s="85" t="str">
        <f>IF(B266="","",INDEX(Elements!B:B,MATCH(Design!B266,Elements!A:A,0)))</f>
        <v/>
      </c>
      <c r="D266" s="13"/>
      <c r="E266" s="85" t="str">
        <f>IFERROR(IF(D266="","",INDEX(Elements!J:J,MATCH(Design!D266,Elements!I:I,0))),SUBSTITUTE(D266," ",""))</f>
        <v/>
      </c>
      <c r="F266" s="13"/>
      <c r="G266" s="84" t="str">
        <f>IFERROR(IF(F266="","",INDEX(Elements!L:L,MATCH(Design!F266,Elements!K:K,0))),F266)</f>
        <v/>
      </c>
      <c r="H266" s="12"/>
      <c r="I266" s="14"/>
      <c r="J266" s="63" t="str">
        <f t="shared" ca="1" si="55"/>
        <v>columnHeaders</v>
      </c>
      <c r="K266" s="63">
        <f t="shared" ca="1" si="60"/>
        <v>0</v>
      </c>
      <c r="L266" s="63" t="str">
        <f ca="1">IF(K266="fontFamily","fontFamily",IF(K266="fontSize","fontSize",IFERROR(INDEX(Elements!M:M,MATCH(Design!J266&amp;"|"&amp;Design!K266,Elements!N:N,0)),"")))</f>
        <v/>
      </c>
      <c r="M266" s="65" t="str">
        <f ca="1">IF(OR(L266="",L266="fill"),"",MATCH(IF(L266="enumeration",J266&amp;"|"&amp;G266,Design!L266),Elements!N:N,0))</f>
        <v/>
      </c>
      <c r="N266" s="65" t="str">
        <f t="shared" si="51"/>
        <v/>
      </c>
      <c r="O266" s="65" t="str">
        <f ca="1">"Elements!"&amp;INDEX(Elements!H:H,MATCH(Design!J266,Elements!J:J,0))</f>
        <v>Elements!K36:K44</v>
      </c>
      <c r="P266" s="65" t="str">
        <f t="shared" ca="1" si="58"/>
        <v>"</v>
      </c>
      <c r="Q266" s="75" t="str">
        <f t="shared" si="62"/>
        <v/>
      </c>
      <c r="R266" s="5" t="str">
        <f t="shared" si="63"/>
        <v/>
      </c>
      <c r="S266" s="5" t="str">
        <f t="shared" si="61"/>
        <v/>
      </c>
      <c r="T266" s="76" t="str">
        <f t="shared" si="64"/>
        <v/>
      </c>
      <c r="U266" s="5">
        <f t="shared" si="59"/>
        <v>0</v>
      </c>
      <c r="V266" s="5">
        <f t="shared" si="56"/>
        <v>0</v>
      </c>
      <c r="W266" s="77" t="str">
        <f t="shared" si="52"/>
        <v/>
      </c>
      <c r="X266" s="65" t="str">
        <f t="shared" si="53"/>
        <v/>
      </c>
      <c r="Y266" s="78" t="str">
        <f t="shared" si="54"/>
        <v/>
      </c>
      <c r="Z266" s="21"/>
      <c r="AA266" s="138"/>
      <c r="AB266" s="21"/>
    </row>
    <row r="267" spans="1:28" x14ac:dyDescent="0.25">
      <c r="A267" s="21"/>
      <c r="B267" s="18"/>
      <c r="C267" s="85" t="str">
        <f>IF(B267="","",INDEX(Elements!B:B,MATCH(Design!B267,Elements!A:A,0)))</f>
        <v/>
      </c>
      <c r="D267" s="13"/>
      <c r="E267" s="85" t="str">
        <f>IFERROR(IF(D267="","",INDEX(Elements!J:J,MATCH(Design!D267,Elements!I:I,0))),SUBSTITUTE(D267," ",""))</f>
        <v/>
      </c>
      <c r="F267" s="13"/>
      <c r="G267" s="84" t="str">
        <f>IFERROR(IF(F267="","",INDEX(Elements!L:L,MATCH(Design!F267,Elements!K:K,0))),F267)</f>
        <v/>
      </c>
      <c r="H267" s="12"/>
      <c r="I267" s="14"/>
      <c r="J267" s="63" t="str">
        <f t="shared" ca="1" si="55"/>
        <v>columnHeaders</v>
      </c>
      <c r="K267" s="63">
        <f t="shared" ca="1" si="60"/>
        <v>0</v>
      </c>
      <c r="L267" s="63" t="str">
        <f ca="1">IF(K267="fontFamily","fontFamily",IF(K267="fontSize","fontSize",IFERROR(INDEX(Elements!M:M,MATCH(Design!J267&amp;"|"&amp;Design!K267,Elements!N:N,0)),"")))</f>
        <v/>
      </c>
      <c r="M267" s="65" t="str">
        <f ca="1">IF(OR(L267="",L267="fill"),"",MATCH(IF(L267="enumeration",J267&amp;"|"&amp;G267,Design!L267),Elements!N:N,0))</f>
        <v/>
      </c>
      <c r="N267" s="65" t="str">
        <f t="shared" si="51"/>
        <v/>
      </c>
      <c r="O267" s="65" t="str">
        <f ca="1">"Elements!"&amp;INDEX(Elements!H:H,MATCH(Design!J267,Elements!J:J,0))</f>
        <v>Elements!K36:K44</v>
      </c>
      <c r="P267" s="65" t="str">
        <f t="shared" ca="1" si="58"/>
        <v>"</v>
      </c>
      <c r="Q267" s="75" t="str">
        <f t="shared" si="62"/>
        <v/>
      </c>
      <c r="R267" s="5" t="str">
        <f t="shared" si="63"/>
        <v/>
      </c>
      <c r="S267" s="5" t="str">
        <f t="shared" si="61"/>
        <v/>
      </c>
      <c r="T267" s="76" t="str">
        <f t="shared" si="64"/>
        <v/>
      </c>
      <c r="U267" s="5">
        <f t="shared" si="59"/>
        <v>0</v>
      </c>
      <c r="V267" s="5">
        <f t="shared" si="56"/>
        <v>0</v>
      </c>
      <c r="W267" s="77" t="str">
        <f t="shared" si="52"/>
        <v/>
      </c>
      <c r="X267" s="65" t="str">
        <f t="shared" si="53"/>
        <v/>
      </c>
      <c r="Y267" s="78" t="str">
        <f t="shared" si="54"/>
        <v/>
      </c>
      <c r="Z267" s="21"/>
      <c r="AA267" s="138"/>
      <c r="AB267" s="21"/>
    </row>
    <row r="268" spans="1:28" x14ac:dyDescent="0.25">
      <c r="A268" s="21"/>
      <c r="B268" s="18"/>
      <c r="C268" s="85" t="str">
        <f>IF(B268="","",INDEX(Elements!B:B,MATCH(Design!B268,Elements!A:A,0)))</f>
        <v/>
      </c>
      <c r="D268" s="13"/>
      <c r="E268" s="85" t="str">
        <f>IFERROR(IF(D268="","",INDEX(Elements!J:J,MATCH(Design!D268,Elements!I:I,0))),SUBSTITUTE(D268," ",""))</f>
        <v/>
      </c>
      <c r="F268" s="13"/>
      <c r="G268" s="84" t="str">
        <f>IFERROR(IF(F268="","",INDEX(Elements!L:L,MATCH(Design!F268,Elements!K:K,0))),F268)</f>
        <v/>
      </c>
      <c r="H268" s="12"/>
      <c r="I268" s="14"/>
      <c r="J268" s="63" t="str">
        <f t="shared" ca="1" si="55"/>
        <v>columnHeaders</v>
      </c>
      <c r="K268" s="63">
        <f t="shared" ca="1" si="60"/>
        <v>0</v>
      </c>
      <c r="L268" s="63" t="str">
        <f ca="1">IF(K268="fontFamily","fontFamily",IF(K268="fontSize","fontSize",IFERROR(INDEX(Elements!M:M,MATCH(Design!J268&amp;"|"&amp;Design!K268,Elements!N:N,0)),"")))</f>
        <v/>
      </c>
      <c r="M268" s="65" t="str">
        <f ca="1">IF(OR(L268="",L268="fill"),"",MATCH(IF(L268="enumeration",J268&amp;"|"&amp;G268,Design!L268),Elements!N:N,0))</f>
        <v/>
      </c>
      <c r="N268" s="65" t="str">
        <f t="shared" si="51"/>
        <v/>
      </c>
      <c r="O268" s="65" t="str">
        <f ca="1">"Elements!"&amp;INDEX(Elements!H:H,MATCH(Design!J268,Elements!J:J,0))</f>
        <v>Elements!K36:K44</v>
      </c>
      <c r="P268" s="65" t="str">
        <f t="shared" ca="1" si="58"/>
        <v>"</v>
      </c>
      <c r="Q268" s="75" t="str">
        <f t="shared" si="62"/>
        <v/>
      </c>
      <c r="R268" s="5" t="str">
        <f t="shared" si="63"/>
        <v/>
      </c>
      <c r="S268" s="5" t="str">
        <f t="shared" si="61"/>
        <v/>
      </c>
      <c r="T268" s="76" t="str">
        <f t="shared" si="64"/>
        <v/>
      </c>
      <c r="U268" s="5">
        <f t="shared" si="59"/>
        <v>0</v>
      </c>
      <c r="V268" s="5">
        <f t="shared" si="56"/>
        <v>0</v>
      </c>
      <c r="W268" s="77" t="str">
        <f t="shared" si="52"/>
        <v/>
      </c>
      <c r="X268" s="65" t="str">
        <f t="shared" si="53"/>
        <v/>
      </c>
      <c r="Y268" s="78" t="str">
        <f t="shared" si="54"/>
        <v/>
      </c>
      <c r="Z268" s="21"/>
      <c r="AA268" s="138"/>
      <c r="AB268" s="21"/>
    </row>
    <row r="269" spans="1:28" x14ac:dyDescent="0.25">
      <c r="A269" s="21"/>
      <c r="B269" s="18"/>
      <c r="C269" s="85" t="str">
        <f>IF(B269="","",INDEX(Elements!B:B,MATCH(Design!B269,Elements!A:A,0)))</f>
        <v/>
      </c>
      <c r="D269" s="13"/>
      <c r="E269" s="85" t="str">
        <f>IFERROR(IF(D269="","",INDEX(Elements!J:J,MATCH(Design!D269,Elements!I:I,0))),SUBSTITUTE(D269," ",""))</f>
        <v/>
      </c>
      <c r="F269" s="13"/>
      <c r="G269" s="84" t="str">
        <f>IFERROR(IF(F269="","",INDEX(Elements!L:L,MATCH(Design!F269,Elements!K:K,0))),F269)</f>
        <v/>
      </c>
      <c r="H269" s="12"/>
      <c r="I269" s="14"/>
      <c r="J269" s="63" t="str">
        <f t="shared" ca="1" si="55"/>
        <v>columnHeaders</v>
      </c>
      <c r="K269" s="63">
        <f t="shared" ca="1" si="60"/>
        <v>0</v>
      </c>
      <c r="L269" s="63" t="str">
        <f ca="1">IF(K269="fontFamily","fontFamily",IF(K269="fontSize","fontSize",IFERROR(INDEX(Elements!M:M,MATCH(Design!J269&amp;"|"&amp;Design!K269,Elements!N:N,0)),"")))</f>
        <v/>
      </c>
      <c r="M269" s="65" t="str">
        <f ca="1">IF(OR(L269="",L269="fill"),"",MATCH(IF(L269="enumeration",J269&amp;"|"&amp;G269,Design!L269),Elements!N:N,0))</f>
        <v/>
      </c>
      <c r="N269" s="65" t="str">
        <f t="shared" si="51"/>
        <v/>
      </c>
      <c r="O269" s="65" t="str">
        <f ca="1">"Elements!"&amp;INDEX(Elements!H:H,MATCH(Design!J269,Elements!J:J,0))</f>
        <v>Elements!K36:K44</v>
      </c>
      <c r="P269" s="65" t="str">
        <f t="shared" ca="1" si="58"/>
        <v>"</v>
      </c>
      <c r="Q269" s="75" t="str">
        <f t="shared" si="62"/>
        <v/>
      </c>
      <c r="R269" s="5" t="str">
        <f t="shared" si="63"/>
        <v/>
      </c>
      <c r="S269" s="5" t="str">
        <f t="shared" si="61"/>
        <v/>
      </c>
      <c r="T269" s="76" t="str">
        <f t="shared" si="64"/>
        <v/>
      </c>
      <c r="U269" s="5">
        <f t="shared" si="59"/>
        <v>0</v>
      </c>
      <c r="V269" s="5">
        <f t="shared" si="56"/>
        <v>0</v>
      </c>
      <c r="W269" s="77" t="str">
        <f t="shared" si="52"/>
        <v/>
      </c>
      <c r="X269" s="65" t="str">
        <f t="shared" si="53"/>
        <v/>
      </c>
      <c r="Y269" s="78" t="str">
        <f t="shared" si="54"/>
        <v/>
      </c>
      <c r="Z269" s="21"/>
      <c r="AA269" s="138"/>
      <c r="AB269" s="21"/>
    </row>
    <row r="270" spans="1:28" x14ac:dyDescent="0.25">
      <c r="A270" s="21"/>
      <c r="B270" s="18"/>
      <c r="C270" s="85" t="str">
        <f>IF(B270="","",INDEX(Elements!B:B,MATCH(Design!B270,Elements!A:A,0)))</f>
        <v/>
      </c>
      <c r="D270" s="13"/>
      <c r="E270" s="85" t="str">
        <f>IFERROR(IF(D270="","",INDEX(Elements!J:J,MATCH(Design!D270,Elements!I:I,0))),SUBSTITUTE(D270," ",""))</f>
        <v/>
      </c>
      <c r="F270" s="13"/>
      <c r="G270" s="84" t="str">
        <f>IFERROR(IF(F270="","",INDEX(Elements!L:L,MATCH(Design!F270,Elements!K:K,0))),F270)</f>
        <v/>
      </c>
      <c r="H270" s="12"/>
      <c r="I270" s="14"/>
      <c r="J270" s="63" t="str">
        <f t="shared" ca="1" si="55"/>
        <v>columnHeaders</v>
      </c>
      <c r="K270" s="63">
        <f t="shared" ca="1" si="60"/>
        <v>0</v>
      </c>
      <c r="L270" s="63" t="str">
        <f ca="1">IF(K270="fontFamily","fontFamily",IF(K270="fontSize","fontSize",IFERROR(INDEX(Elements!M:M,MATCH(Design!J270&amp;"|"&amp;Design!K270,Elements!N:N,0)),"")))</f>
        <v/>
      </c>
      <c r="M270" s="65" t="str">
        <f ca="1">IF(OR(L270="",L270="fill"),"",MATCH(IF(L270="enumeration",J270&amp;"|"&amp;G270,Design!L270),Elements!N:N,0))</f>
        <v/>
      </c>
      <c r="N270" s="65" t="str">
        <f t="shared" si="51"/>
        <v/>
      </c>
      <c r="O270" s="65" t="str">
        <f ca="1">"Elements!"&amp;INDEX(Elements!H:H,MATCH(Design!J270,Elements!J:J,0))</f>
        <v>Elements!K36:K44</v>
      </c>
      <c r="P270" s="65" t="str">
        <f t="shared" ca="1" si="58"/>
        <v>"</v>
      </c>
      <c r="Q270" s="75" t="str">
        <f t="shared" si="62"/>
        <v/>
      </c>
      <c r="R270" s="5" t="str">
        <f t="shared" si="63"/>
        <v/>
      </c>
      <c r="S270" s="5" t="str">
        <f t="shared" si="61"/>
        <v/>
      </c>
      <c r="T270" s="76" t="str">
        <f t="shared" si="64"/>
        <v/>
      </c>
      <c r="U270" s="5">
        <f t="shared" si="59"/>
        <v>0</v>
      </c>
      <c r="V270" s="5">
        <f t="shared" si="56"/>
        <v>0</v>
      </c>
      <c r="W270" s="77" t="str">
        <f t="shared" si="52"/>
        <v/>
      </c>
      <c r="X270" s="65" t="str">
        <f t="shared" si="53"/>
        <v/>
      </c>
      <c r="Y270" s="78" t="str">
        <f t="shared" si="54"/>
        <v/>
      </c>
      <c r="Z270" s="21"/>
      <c r="AA270" s="138"/>
      <c r="AB270" s="21"/>
    </row>
    <row r="271" spans="1:28" x14ac:dyDescent="0.25">
      <c r="A271" s="21"/>
      <c r="B271" s="18"/>
      <c r="C271" s="85" t="str">
        <f>IF(B271="","",INDEX(Elements!B:B,MATCH(Design!B271,Elements!A:A,0)))</f>
        <v/>
      </c>
      <c r="D271" s="13"/>
      <c r="E271" s="85" t="str">
        <f>IFERROR(IF(D271="","",INDEX(Elements!J:J,MATCH(Design!D271,Elements!I:I,0))),SUBSTITUTE(D271," ",""))</f>
        <v/>
      </c>
      <c r="F271" s="13"/>
      <c r="G271" s="84" t="str">
        <f>IFERROR(IF(F271="","",INDEX(Elements!L:L,MATCH(Design!F271,Elements!K:K,0))),F271)</f>
        <v/>
      </c>
      <c r="H271" s="12"/>
      <c r="I271" s="14"/>
      <c r="J271" s="63" t="str">
        <f t="shared" ca="1" si="55"/>
        <v>columnHeaders</v>
      </c>
      <c r="K271" s="63">
        <f t="shared" ca="1" si="60"/>
        <v>0</v>
      </c>
      <c r="L271" s="63" t="str">
        <f ca="1">IF(K271="fontFamily","fontFamily",IF(K271="fontSize","fontSize",IFERROR(INDEX(Elements!M:M,MATCH(Design!J271&amp;"|"&amp;Design!K271,Elements!N:N,0)),"")))</f>
        <v/>
      </c>
      <c r="M271" s="65" t="str">
        <f ca="1">IF(OR(L271="",L271="fill"),"",MATCH(IF(L271="enumeration",J271&amp;"|"&amp;G271,Design!L271),Elements!N:N,0))</f>
        <v/>
      </c>
      <c r="N271" s="65" t="str">
        <f t="shared" si="51"/>
        <v/>
      </c>
      <c r="O271" s="65" t="str">
        <f ca="1">"Elements!"&amp;INDEX(Elements!H:H,MATCH(Design!J271,Elements!J:J,0))</f>
        <v>Elements!K36:K44</v>
      </c>
      <c r="P271" s="65" t="str">
        <f t="shared" ca="1" si="58"/>
        <v>"</v>
      </c>
      <c r="Q271" s="75" t="str">
        <f t="shared" si="62"/>
        <v/>
      </c>
      <c r="R271" s="5" t="str">
        <f t="shared" si="63"/>
        <v/>
      </c>
      <c r="S271" s="5" t="str">
        <f t="shared" si="61"/>
        <v/>
      </c>
      <c r="T271" s="76" t="str">
        <f t="shared" si="64"/>
        <v/>
      </c>
      <c r="U271" s="5">
        <f t="shared" si="59"/>
        <v>0</v>
      </c>
      <c r="V271" s="5">
        <f t="shared" si="56"/>
        <v>0</v>
      </c>
      <c r="W271" s="77" t="str">
        <f t="shared" si="52"/>
        <v/>
      </c>
      <c r="X271" s="65" t="str">
        <f t="shared" si="53"/>
        <v/>
      </c>
      <c r="Y271" s="78" t="str">
        <f t="shared" si="54"/>
        <v/>
      </c>
      <c r="Z271" s="21"/>
      <c r="AA271" s="138"/>
      <c r="AB271" s="21"/>
    </row>
    <row r="272" spans="1:28" x14ac:dyDescent="0.25">
      <c r="A272" s="21"/>
      <c r="B272" s="18"/>
      <c r="C272" s="85" t="str">
        <f>IF(B272="","",INDEX(Elements!B:B,MATCH(Design!B272,Elements!A:A,0)))</f>
        <v/>
      </c>
      <c r="D272" s="13"/>
      <c r="E272" s="85" t="str">
        <f>IFERROR(IF(D272="","",INDEX(Elements!J:J,MATCH(Design!D272,Elements!I:I,0))),SUBSTITUTE(D272," ",""))</f>
        <v/>
      </c>
      <c r="F272" s="13"/>
      <c r="G272" s="84" t="str">
        <f>IFERROR(IF(F272="","",INDEX(Elements!L:L,MATCH(Design!F272,Elements!K:K,0))),F272)</f>
        <v/>
      </c>
      <c r="H272" s="12"/>
      <c r="I272" s="14"/>
      <c r="J272" s="63" t="str">
        <f t="shared" ca="1" si="55"/>
        <v>columnHeaders</v>
      </c>
      <c r="K272" s="63">
        <f t="shared" ca="1" si="60"/>
        <v>0</v>
      </c>
      <c r="L272" s="63" t="str">
        <f ca="1">IF(K272="fontFamily","fontFamily",IF(K272="fontSize","fontSize",IFERROR(INDEX(Elements!M:M,MATCH(Design!J272&amp;"|"&amp;Design!K272,Elements!N:N,0)),"")))</f>
        <v/>
      </c>
      <c r="M272" s="65" t="str">
        <f ca="1">IF(OR(L272="",L272="fill"),"",MATCH(IF(L272="enumeration",J272&amp;"|"&amp;G272,Design!L272),Elements!N:N,0))</f>
        <v/>
      </c>
      <c r="N272" s="65" t="str">
        <f t="shared" si="51"/>
        <v/>
      </c>
      <c r="O272" s="65" t="str">
        <f ca="1">"Elements!"&amp;INDEX(Elements!H:H,MATCH(Design!J272,Elements!J:J,0))</f>
        <v>Elements!K36:K44</v>
      </c>
      <c r="P272" s="65" t="str">
        <f t="shared" ca="1" si="58"/>
        <v>"</v>
      </c>
      <c r="Q272" s="75" t="str">
        <f t="shared" si="62"/>
        <v/>
      </c>
      <c r="R272" s="5" t="str">
        <f t="shared" si="63"/>
        <v/>
      </c>
      <c r="S272" s="5" t="str">
        <f t="shared" si="61"/>
        <v/>
      </c>
      <c r="T272" s="76" t="str">
        <f t="shared" si="64"/>
        <v/>
      </c>
      <c r="U272" s="5">
        <f t="shared" si="59"/>
        <v>0</v>
      </c>
      <c r="V272" s="5">
        <f t="shared" si="56"/>
        <v>0</v>
      </c>
      <c r="W272" s="77" t="str">
        <f t="shared" si="52"/>
        <v/>
      </c>
      <c r="X272" s="65" t="str">
        <f t="shared" si="53"/>
        <v/>
      </c>
      <c r="Y272" s="78" t="str">
        <f t="shared" si="54"/>
        <v/>
      </c>
      <c r="Z272" s="21"/>
      <c r="AA272" s="138"/>
      <c r="AB272" s="21"/>
    </row>
    <row r="273" spans="1:28" x14ac:dyDescent="0.25">
      <c r="A273" s="21"/>
      <c r="B273" s="18"/>
      <c r="C273" s="85" t="str">
        <f>IF(B273="","",INDEX(Elements!B:B,MATCH(Design!B273,Elements!A:A,0)))</f>
        <v/>
      </c>
      <c r="D273" s="13"/>
      <c r="E273" s="85" t="str">
        <f>IFERROR(IF(D273="","",INDEX(Elements!J:J,MATCH(Design!D273,Elements!I:I,0))),SUBSTITUTE(D273," ",""))</f>
        <v/>
      </c>
      <c r="F273" s="13"/>
      <c r="G273" s="84" t="str">
        <f>IFERROR(IF(F273="","",INDEX(Elements!L:L,MATCH(Design!F273,Elements!K:K,0))),F273)</f>
        <v/>
      </c>
      <c r="H273" s="12"/>
      <c r="I273" s="14"/>
      <c r="J273" s="63" t="str">
        <f t="shared" ca="1" si="55"/>
        <v>columnHeaders</v>
      </c>
      <c r="K273" s="63">
        <f t="shared" ca="1" si="60"/>
        <v>0</v>
      </c>
      <c r="L273" s="63" t="str">
        <f ca="1">IF(K273="fontFamily","fontFamily",IF(K273="fontSize","fontSize",IFERROR(INDEX(Elements!M:M,MATCH(Design!J273&amp;"|"&amp;Design!K273,Elements!N:N,0)),"")))</f>
        <v/>
      </c>
      <c r="M273" s="65" t="str">
        <f ca="1">IF(OR(L273="",L273="fill"),"",MATCH(IF(L273="enumeration",J273&amp;"|"&amp;G273,Design!L273),Elements!N:N,0))</f>
        <v/>
      </c>
      <c r="N273" s="65" t="str">
        <f t="shared" ref="N273:N336" si="65">IF(G273="","",IFERROR(IF(L273="fill","Design!$C$8:$H$9",IF(M273="","Design!$A$1","Elements!O"&amp;M273&amp;":AZ"&amp;M273)),"Design!$A$1"))</f>
        <v/>
      </c>
      <c r="O273" s="65" t="str">
        <f ca="1">"Elements!"&amp;INDEX(Elements!H:H,MATCH(Design!J273,Elements!J:J,0))</f>
        <v>Elements!K36:K44</v>
      </c>
      <c r="P273" s="65" t="str">
        <f t="shared" ca="1" si="58"/>
        <v>"</v>
      </c>
      <c r="Q273" s="75" t="str">
        <f t="shared" si="62"/>
        <v/>
      </c>
      <c r="R273" s="5" t="str">
        <f t="shared" si="63"/>
        <v/>
      </c>
      <c r="S273" s="5" t="str">
        <f t="shared" si="61"/>
        <v/>
      </c>
      <c r="T273" s="76" t="str">
        <f t="shared" si="64"/>
        <v/>
      </c>
      <c r="U273" s="5">
        <f t="shared" si="59"/>
        <v>0</v>
      </c>
      <c r="V273" s="5">
        <f t="shared" si="56"/>
        <v>0</v>
      </c>
      <c r="W273" s="77" t="str">
        <f t="shared" si="52"/>
        <v/>
      </c>
      <c r="X273" s="65" t="str">
        <f t="shared" si="53"/>
        <v/>
      </c>
      <c r="Y273" s="78" t="str">
        <f t="shared" si="54"/>
        <v/>
      </c>
      <c r="Z273" s="21"/>
      <c r="AA273" s="138"/>
      <c r="AB273" s="21"/>
    </row>
    <row r="274" spans="1:28" x14ac:dyDescent="0.25">
      <c r="A274" s="21"/>
      <c r="B274" s="18"/>
      <c r="C274" s="85" t="str">
        <f>IF(B274="","",INDEX(Elements!B:B,MATCH(Design!B274,Elements!A:A,0)))</f>
        <v/>
      </c>
      <c r="D274" s="13"/>
      <c r="E274" s="85" t="str">
        <f>IFERROR(IF(D274="","",INDEX(Elements!J:J,MATCH(Design!D274,Elements!I:I,0))),SUBSTITUTE(D274," ",""))</f>
        <v/>
      </c>
      <c r="F274" s="13"/>
      <c r="G274" s="84" t="str">
        <f>IFERROR(IF(F274="","",INDEX(Elements!L:L,MATCH(Design!F274,Elements!K:K,0))),F274)</f>
        <v/>
      </c>
      <c r="H274" s="12"/>
      <c r="I274" s="14"/>
      <c r="J274" s="63" t="str">
        <f t="shared" ca="1" si="55"/>
        <v>columnHeaders</v>
      </c>
      <c r="K274" s="63">
        <f t="shared" ca="1" si="60"/>
        <v>0</v>
      </c>
      <c r="L274" s="63" t="str">
        <f ca="1">IF(K274="fontFamily","fontFamily",IF(K274="fontSize","fontSize",IFERROR(INDEX(Elements!M:M,MATCH(Design!J274&amp;"|"&amp;Design!K274,Elements!N:N,0)),"")))</f>
        <v/>
      </c>
      <c r="M274" s="65" t="str">
        <f ca="1">IF(OR(L274="",L274="fill"),"",MATCH(IF(L274="enumeration",J274&amp;"|"&amp;G274,Design!L274),Elements!N:N,0))</f>
        <v/>
      </c>
      <c r="N274" s="65" t="str">
        <f t="shared" si="65"/>
        <v/>
      </c>
      <c r="O274" s="65" t="str">
        <f ca="1">"Elements!"&amp;INDEX(Elements!H:H,MATCH(Design!J274,Elements!J:J,0))</f>
        <v>Elements!K36:K44</v>
      </c>
      <c r="P274" s="65" t="str">
        <f t="shared" ca="1" si="58"/>
        <v>"</v>
      </c>
      <c r="Q274" s="75" t="str">
        <f t="shared" si="62"/>
        <v/>
      </c>
      <c r="R274" s="5" t="str">
        <f t="shared" si="63"/>
        <v/>
      </c>
      <c r="S274" s="5" t="str">
        <f t="shared" si="61"/>
        <v/>
      </c>
      <c r="T274" s="76" t="str">
        <f t="shared" si="64"/>
        <v/>
      </c>
      <c r="U274" s="5">
        <f t="shared" si="59"/>
        <v>0</v>
      </c>
      <c r="V274" s="5">
        <f t="shared" si="56"/>
        <v>0</v>
      </c>
      <c r="W274" s="77" t="str">
        <f t="shared" ref="W274:W337" si="66">IF(LEFT(H274,1)&lt;&gt;"#","",HEX2DEC(RIGHT(H274,2)))</f>
        <v/>
      </c>
      <c r="X274" s="65" t="str">
        <f t="shared" ref="X274:X337" si="67">IF(LEFT(H274,1)&lt;&gt;"#","",HEX2DEC(MID(H274,4,2)))</f>
        <v/>
      </c>
      <c r="Y274" s="78" t="str">
        <f t="shared" ref="Y274:Y337" si="68">IF(LEFT(H274,1)&lt;&gt;"#","",HEX2DEC(MID(H274,2,2)))</f>
        <v/>
      </c>
      <c r="Z274" s="21"/>
      <c r="AA274" s="138"/>
      <c r="AB274" s="21"/>
    </row>
    <row r="275" spans="1:28" x14ac:dyDescent="0.25">
      <c r="A275" s="21"/>
      <c r="B275" s="18"/>
      <c r="C275" s="85" t="str">
        <f>IF(B275="","",INDEX(Elements!B:B,MATCH(Design!B275,Elements!A:A,0)))</f>
        <v/>
      </c>
      <c r="D275" s="13"/>
      <c r="E275" s="85" t="str">
        <f>IFERROR(IF(D275="","",INDEX(Elements!J:J,MATCH(Design!D275,Elements!I:I,0))),SUBSTITUTE(D275," ",""))</f>
        <v/>
      </c>
      <c r="F275" s="13"/>
      <c r="G275" s="84" t="str">
        <f>IFERROR(IF(F275="","",INDEX(Elements!L:L,MATCH(Design!F275,Elements!K:K,0))),F275)</f>
        <v/>
      </c>
      <c r="H275" s="12"/>
      <c r="I275" s="14"/>
      <c r="J275" s="63" t="str">
        <f t="shared" ca="1" si="55"/>
        <v>columnHeaders</v>
      </c>
      <c r="K275" s="63">
        <f t="shared" ca="1" si="60"/>
        <v>0</v>
      </c>
      <c r="L275" s="63" t="str">
        <f ca="1">IF(K275="fontFamily","fontFamily",IF(K275="fontSize","fontSize",IFERROR(INDEX(Elements!M:M,MATCH(Design!J275&amp;"|"&amp;Design!K275,Elements!N:N,0)),"")))</f>
        <v/>
      </c>
      <c r="M275" s="65" t="str">
        <f ca="1">IF(OR(L275="",L275="fill"),"",MATCH(IF(L275="enumeration",J275&amp;"|"&amp;G275,Design!L275),Elements!N:N,0))</f>
        <v/>
      </c>
      <c r="N275" s="65" t="str">
        <f t="shared" si="65"/>
        <v/>
      </c>
      <c r="O275" s="65" t="str">
        <f ca="1">"Elements!"&amp;INDEX(Elements!H:H,MATCH(Design!J275,Elements!J:J,0))</f>
        <v>Elements!K36:K44</v>
      </c>
      <c r="P275" s="65" t="str">
        <f t="shared" ca="1" si="58"/>
        <v>"</v>
      </c>
      <c r="Q275" s="75" t="str">
        <f t="shared" si="62"/>
        <v/>
      </c>
      <c r="R275" s="5" t="str">
        <f t="shared" si="63"/>
        <v/>
      </c>
      <c r="S275" s="5" t="str">
        <f t="shared" si="61"/>
        <v/>
      </c>
      <c r="T275" s="76" t="str">
        <f t="shared" si="64"/>
        <v/>
      </c>
      <c r="U275" s="5">
        <f t="shared" si="59"/>
        <v>0</v>
      </c>
      <c r="V275" s="5">
        <f t="shared" si="56"/>
        <v>0</v>
      </c>
      <c r="W275" s="77" t="str">
        <f t="shared" si="66"/>
        <v/>
      </c>
      <c r="X275" s="65" t="str">
        <f t="shared" si="67"/>
        <v/>
      </c>
      <c r="Y275" s="78" t="str">
        <f t="shared" si="68"/>
        <v/>
      </c>
      <c r="Z275" s="21"/>
      <c r="AA275" s="138"/>
      <c r="AB275" s="21"/>
    </row>
    <row r="276" spans="1:28" x14ac:dyDescent="0.25">
      <c r="A276" s="21"/>
      <c r="B276" s="18"/>
      <c r="C276" s="85" t="str">
        <f>IF(B276="","",INDEX(Elements!B:B,MATCH(Design!B276,Elements!A:A,0)))</f>
        <v/>
      </c>
      <c r="D276" s="13"/>
      <c r="E276" s="85" t="str">
        <f>IFERROR(IF(D276="","",INDEX(Elements!J:J,MATCH(Design!D276,Elements!I:I,0))),SUBSTITUTE(D276," ",""))</f>
        <v/>
      </c>
      <c r="F276" s="13"/>
      <c r="G276" s="84" t="str">
        <f>IFERROR(IF(F276="","",INDEX(Elements!L:L,MATCH(Design!F276,Elements!K:K,0))),F276)</f>
        <v/>
      </c>
      <c r="H276" s="12"/>
      <c r="I276" s="14"/>
      <c r="J276" s="63" t="str">
        <f t="shared" ca="1" si="55"/>
        <v>columnHeaders</v>
      </c>
      <c r="K276" s="63">
        <f t="shared" ca="1" si="60"/>
        <v>0</v>
      </c>
      <c r="L276" s="63" t="str">
        <f ca="1">IF(K276="fontFamily","fontFamily",IF(K276="fontSize","fontSize",IFERROR(INDEX(Elements!M:M,MATCH(Design!J276&amp;"|"&amp;Design!K276,Elements!N:N,0)),"")))</f>
        <v/>
      </c>
      <c r="M276" s="65" t="str">
        <f ca="1">IF(OR(L276="",L276="fill"),"",MATCH(IF(L276="enumeration",J276&amp;"|"&amp;G276,Design!L276),Elements!N:N,0))</f>
        <v/>
      </c>
      <c r="N276" s="65" t="str">
        <f t="shared" si="65"/>
        <v/>
      </c>
      <c r="O276" s="65" t="str">
        <f ca="1">"Elements!"&amp;INDEX(Elements!H:H,MATCH(Design!J276,Elements!J:J,0))</f>
        <v>Elements!K36:K44</v>
      </c>
      <c r="P276" s="65" t="str">
        <f t="shared" ca="1" si="58"/>
        <v>"</v>
      </c>
      <c r="Q276" s="75" t="str">
        <f t="shared" si="62"/>
        <v/>
      </c>
      <c r="R276" s="5" t="str">
        <f t="shared" si="63"/>
        <v/>
      </c>
      <c r="S276" s="5" t="str">
        <f t="shared" si="61"/>
        <v/>
      </c>
      <c r="T276" s="76" t="str">
        <f t="shared" si="64"/>
        <v/>
      </c>
      <c r="U276" s="5">
        <f t="shared" si="59"/>
        <v>0</v>
      </c>
      <c r="V276" s="5">
        <f t="shared" si="56"/>
        <v>0</v>
      </c>
      <c r="W276" s="77" t="str">
        <f t="shared" si="66"/>
        <v/>
      </c>
      <c r="X276" s="65" t="str">
        <f t="shared" si="67"/>
        <v/>
      </c>
      <c r="Y276" s="78" t="str">
        <f t="shared" si="68"/>
        <v/>
      </c>
      <c r="Z276" s="21"/>
      <c r="AA276" s="138"/>
      <c r="AB276" s="21"/>
    </row>
    <row r="277" spans="1:28" x14ac:dyDescent="0.25">
      <c r="A277" s="21"/>
      <c r="B277" s="18"/>
      <c r="C277" s="85" t="str">
        <f>IF(B277="","",INDEX(Elements!B:B,MATCH(Design!B277,Elements!A:A,0)))</f>
        <v/>
      </c>
      <c r="D277" s="13"/>
      <c r="E277" s="85" t="str">
        <f>IFERROR(IF(D277="","",INDEX(Elements!J:J,MATCH(Design!D277,Elements!I:I,0))),SUBSTITUTE(D277," ",""))</f>
        <v/>
      </c>
      <c r="F277" s="13"/>
      <c r="G277" s="84" t="str">
        <f>IFERROR(IF(F277="","",INDEX(Elements!L:L,MATCH(Design!F277,Elements!K:K,0))),F277)</f>
        <v/>
      </c>
      <c r="H277" s="12"/>
      <c r="I277" s="14"/>
      <c r="J277" s="63" t="str">
        <f t="shared" ca="1" si="55"/>
        <v>columnHeaders</v>
      </c>
      <c r="K277" s="63">
        <f t="shared" ca="1" si="60"/>
        <v>0</v>
      </c>
      <c r="L277" s="63" t="str">
        <f ca="1">IF(K277="fontFamily","fontFamily",IF(K277="fontSize","fontSize",IFERROR(INDEX(Elements!M:M,MATCH(Design!J277&amp;"|"&amp;Design!K277,Elements!N:N,0)),"")))</f>
        <v/>
      </c>
      <c r="M277" s="65" t="str">
        <f ca="1">IF(OR(L277="",L277="fill"),"",MATCH(IF(L277="enumeration",J277&amp;"|"&amp;G277,Design!L277),Elements!N:N,0))</f>
        <v/>
      </c>
      <c r="N277" s="65" t="str">
        <f t="shared" si="65"/>
        <v/>
      </c>
      <c r="O277" s="65" t="str">
        <f ca="1">"Elements!"&amp;INDEX(Elements!H:H,MATCH(Design!J277,Elements!J:J,0))</f>
        <v>Elements!K36:K44</v>
      </c>
      <c r="P277" s="65" t="str">
        <f t="shared" ca="1" si="58"/>
        <v>"</v>
      </c>
      <c r="Q277" s="75" t="str">
        <f t="shared" si="62"/>
        <v/>
      </c>
      <c r="R277" s="5" t="str">
        <f t="shared" si="63"/>
        <v/>
      </c>
      <c r="S277" s="5" t="str">
        <f t="shared" si="61"/>
        <v/>
      </c>
      <c r="T277" s="76" t="str">
        <f t="shared" si="64"/>
        <v/>
      </c>
      <c r="U277" s="5">
        <f t="shared" si="59"/>
        <v>0</v>
      </c>
      <c r="V277" s="5">
        <f t="shared" si="56"/>
        <v>0</v>
      </c>
      <c r="W277" s="77" t="str">
        <f t="shared" si="66"/>
        <v/>
      </c>
      <c r="X277" s="65" t="str">
        <f t="shared" si="67"/>
        <v/>
      </c>
      <c r="Y277" s="78" t="str">
        <f t="shared" si="68"/>
        <v/>
      </c>
      <c r="Z277" s="21"/>
      <c r="AA277" s="138"/>
      <c r="AB277" s="21"/>
    </row>
    <row r="278" spans="1:28" x14ac:dyDescent="0.25">
      <c r="A278" s="21"/>
      <c r="B278" s="18"/>
      <c r="C278" s="85" t="str">
        <f>IF(B278="","",INDEX(Elements!B:B,MATCH(Design!B278,Elements!A:A,0)))</f>
        <v/>
      </c>
      <c r="D278" s="13"/>
      <c r="E278" s="85" t="str">
        <f>IFERROR(IF(D278="","",INDEX(Elements!J:J,MATCH(Design!D278,Elements!I:I,0))),SUBSTITUTE(D278," ",""))</f>
        <v/>
      </c>
      <c r="F278" s="13"/>
      <c r="G278" s="84" t="str">
        <f>IFERROR(IF(F278="","",INDEX(Elements!L:L,MATCH(Design!F278,Elements!K:K,0))),F278)</f>
        <v/>
      </c>
      <c r="H278" s="12"/>
      <c r="I278" s="14"/>
      <c r="J278" s="63" t="str">
        <f t="shared" ca="1" si="55"/>
        <v>columnHeaders</v>
      </c>
      <c r="K278" s="63">
        <f t="shared" ca="1" si="60"/>
        <v>0</v>
      </c>
      <c r="L278" s="63" t="str">
        <f ca="1">IF(K278="fontFamily","fontFamily",IF(K278="fontSize","fontSize",IFERROR(INDEX(Elements!M:M,MATCH(Design!J278&amp;"|"&amp;Design!K278,Elements!N:N,0)),"")))</f>
        <v/>
      </c>
      <c r="M278" s="65" t="str">
        <f ca="1">IF(OR(L278="",L278="fill"),"",MATCH(IF(L278="enumeration",J278&amp;"|"&amp;G278,Design!L278),Elements!N:N,0))</f>
        <v/>
      </c>
      <c r="N278" s="65" t="str">
        <f t="shared" si="65"/>
        <v/>
      </c>
      <c r="O278" s="65" t="str">
        <f ca="1">"Elements!"&amp;INDEX(Elements!H:H,MATCH(Design!J278,Elements!J:J,0))</f>
        <v>Elements!K36:K44</v>
      </c>
      <c r="P278" s="65" t="str">
        <f t="shared" ca="1" si="58"/>
        <v>"</v>
      </c>
      <c r="Q278" s="75" t="str">
        <f t="shared" si="62"/>
        <v/>
      </c>
      <c r="R278" s="5" t="str">
        <f t="shared" si="63"/>
        <v/>
      </c>
      <c r="S278" s="5" t="str">
        <f t="shared" si="61"/>
        <v/>
      </c>
      <c r="T278" s="76" t="str">
        <f t="shared" si="64"/>
        <v/>
      </c>
      <c r="U278" s="5">
        <f t="shared" si="59"/>
        <v>0</v>
      </c>
      <c r="V278" s="5">
        <f t="shared" si="56"/>
        <v>0</v>
      </c>
      <c r="W278" s="77" t="str">
        <f t="shared" si="66"/>
        <v/>
      </c>
      <c r="X278" s="65" t="str">
        <f t="shared" si="67"/>
        <v/>
      </c>
      <c r="Y278" s="78" t="str">
        <f t="shared" si="68"/>
        <v/>
      </c>
      <c r="Z278" s="21"/>
      <c r="AA278" s="138"/>
      <c r="AB278" s="21"/>
    </row>
    <row r="279" spans="1:28" x14ac:dyDescent="0.25">
      <c r="A279" s="21"/>
      <c r="B279" s="18"/>
      <c r="C279" s="85" t="str">
        <f>IF(B279="","",INDEX(Elements!B:B,MATCH(Design!B279,Elements!A:A,0)))</f>
        <v/>
      </c>
      <c r="D279" s="13"/>
      <c r="E279" s="85" t="str">
        <f>IFERROR(IF(D279="","",INDEX(Elements!J:J,MATCH(Design!D279,Elements!I:I,0))),SUBSTITUTE(D279," ",""))</f>
        <v/>
      </c>
      <c r="F279" s="13"/>
      <c r="G279" s="84" t="str">
        <f>IFERROR(IF(F279="","",INDEX(Elements!L:L,MATCH(Design!F279,Elements!K:K,0))),F279)</f>
        <v/>
      </c>
      <c r="H279" s="12"/>
      <c r="I279" s="14"/>
      <c r="J279" s="63" t="str">
        <f t="shared" ref="J279:J342" ca="1" si="69">IF(E279="",INDIRECT("J"&amp;ROW()-1),E279)</f>
        <v>columnHeaders</v>
      </c>
      <c r="K279" s="63">
        <f t="shared" ca="1" si="60"/>
        <v>0</v>
      </c>
      <c r="L279" s="63" t="str">
        <f ca="1">IF(K279="fontFamily","fontFamily",IF(K279="fontSize","fontSize",IFERROR(INDEX(Elements!M:M,MATCH(Design!J279&amp;"|"&amp;Design!K279,Elements!N:N,0)),"")))</f>
        <v/>
      </c>
      <c r="M279" s="65" t="str">
        <f ca="1">IF(OR(L279="",L279="fill"),"",MATCH(IF(L279="enumeration",J279&amp;"|"&amp;G279,Design!L279),Elements!N:N,0))</f>
        <v/>
      </c>
      <c r="N279" s="65" t="str">
        <f t="shared" si="65"/>
        <v/>
      </c>
      <c r="O279" s="65" t="str">
        <f ca="1">"Elements!"&amp;INDEX(Elements!H:H,MATCH(Design!J279,Elements!J:J,0))</f>
        <v>Elements!K36:K44</v>
      </c>
      <c r="P279" s="65" t="str">
        <f t="shared" ca="1" si="58"/>
        <v>"</v>
      </c>
      <c r="Q279" s="75" t="str">
        <f t="shared" si="62"/>
        <v/>
      </c>
      <c r="R279" s="5" t="str">
        <f t="shared" si="63"/>
        <v/>
      </c>
      <c r="S279" s="5" t="str">
        <f t="shared" si="61"/>
        <v/>
      </c>
      <c r="T279" s="76" t="str">
        <f t="shared" si="64"/>
        <v/>
      </c>
      <c r="U279" s="5">
        <f t="shared" si="59"/>
        <v>0</v>
      </c>
      <c r="V279" s="5">
        <f t="shared" si="59"/>
        <v>0</v>
      </c>
      <c r="W279" s="77" t="str">
        <f t="shared" si="66"/>
        <v/>
      </c>
      <c r="X279" s="65" t="str">
        <f t="shared" si="67"/>
        <v/>
      </c>
      <c r="Y279" s="78" t="str">
        <f t="shared" si="68"/>
        <v/>
      </c>
      <c r="Z279" s="21"/>
      <c r="AA279" s="138"/>
      <c r="AB279" s="21"/>
    </row>
    <row r="280" spans="1:28" x14ac:dyDescent="0.25">
      <c r="A280" s="21"/>
      <c r="B280" s="18"/>
      <c r="C280" s="85" t="str">
        <f>IF(B280="","",INDEX(Elements!B:B,MATCH(Design!B280,Elements!A:A,0)))</f>
        <v/>
      </c>
      <c r="D280" s="13"/>
      <c r="E280" s="85" t="str">
        <f>IFERROR(IF(D280="","",INDEX(Elements!J:J,MATCH(Design!D280,Elements!I:I,0))),SUBSTITUTE(D280," ",""))</f>
        <v/>
      </c>
      <c r="F280" s="13"/>
      <c r="G280" s="84" t="str">
        <f>IFERROR(IF(F280="","",INDEX(Elements!L:L,MATCH(Design!F280,Elements!K:K,0))),F280)</f>
        <v/>
      </c>
      <c r="H280" s="12"/>
      <c r="I280" s="14"/>
      <c r="J280" s="63" t="str">
        <f t="shared" ca="1" si="69"/>
        <v>columnHeaders</v>
      </c>
      <c r="K280" s="63">
        <f t="shared" ca="1" si="60"/>
        <v>0</v>
      </c>
      <c r="L280" s="63" t="str">
        <f ca="1">IF(K280="fontFamily","fontFamily",IF(K280="fontSize","fontSize",IFERROR(INDEX(Elements!M:M,MATCH(Design!J280&amp;"|"&amp;Design!K280,Elements!N:N,0)),"")))</f>
        <v/>
      </c>
      <c r="M280" s="65" t="str">
        <f ca="1">IF(OR(L280="",L280="fill"),"",MATCH(IF(L280="enumeration",J280&amp;"|"&amp;G280,Design!L280),Elements!N:N,0))</f>
        <v/>
      </c>
      <c r="N280" s="65" t="str">
        <f t="shared" si="65"/>
        <v/>
      </c>
      <c r="O280" s="65" t="str">
        <f ca="1">"Elements!"&amp;INDEX(Elements!H:H,MATCH(Design!J280,Elements!J:J,0))</f>
        <v>Elements!K36:K44</v>
      </c>
      <c r="P280" s="65" t="str">
        <f t="shared" ca="1" si="58"/>
        <v>"</v>
      </c>
      <c r="Q280" s="75" t="str">
        <f t="shared" si="62"/>
        <v/>
      </c>
      <c r="R280" s="5" t="str">
        <f t="shared" si="63"/>
        <v/>
      </c>
      <c r="S280" s="5" t="str">
        <f t="shared" si="61"/>
        <v/>
      </c>
      <c r="T280" s="76" t="str">
        <f t="shared" si="64"/>
        <v/>
      </c>
      <c r="U280" s="5">
        <f t="shared" ref="U280:V311" si="70">SUMPRODUCT(LEN($T280)-LEN(SUBSTITUTE($T280,U$2,"")))</f>
        <v>0</v>
      </c>
      <c r="V280" s="5">
        <f t="shared" si="70"/>
        <v>0</v>
      </c>
      <c r="W280" s="77" t="str">
        <f t="shared" si="66"/>
        <v/>
      </c>
      <c r="X280" s="65" t="str">
        <f t="shared" si="67"/>
        <v/>
      </c>
      <c r="Y280" s="78" t="str">
        <f t="shared" si="68"/>
        <v/>
      </c>
      <c r="Z280" s="21"/>
      <c r="AA280" s="138"/>
      <c r="AB280" s="21"/>
    </row>
    <row r="281" spans="1:28" x14ac:dyDescent="0.25">
      <c r="A281" s="21"/>
      <c r="B281" s="18"/>
      <c r="C281" s="85" t="str">
        <f>IF(B281="","",INDEX(Elements!B:B,MATCH(Design!B281,Elements!A:A,0)))</f>
        <v/>
      </c>
      <c r="D281" s="13"/>
      <c r="E281" s="85" t="str">
        <f>IFERROR(IF(D281="","",INDEX(Elements!J:J,MATCH(Design!D281,Elements!I:I,0))),SUBSTITUTE(D281," ",""))</f>
        <v/>
      </c>
      <c r="F281" s="13"/>
      <c r="G281" s="84" t="str">
        <f>IFERROR(IF(F281="","",INDEX(Elements!L:L,MATCH(Design!F281,Elements!K:K,0))),F281)</f>
        <v/>
      </c>
      <c r="H281" s="12"/>
      <c r="I281" s="14"/>
      <c r="J281" s="63" t="str">
        <f t="shared" ca="1" si="69"/>
        <v>columnHeaders</v>
      </c>
      <c r="K281" s="63">
        <f t="shared" ca="1" si="60"/>
        <v>0</v>
      </c>
      <c r="L281" s="63" t="str">
        <f ca="1">IF(K281="fontFamily","fontFamily",IF(K281="fontSize","fontSize",IFERROR(INDEX(Elements!M:M,MATCH(Design!J281&amp;"|"&amp;Design!K281,Elements!N:N,0)),"")))</f>
        <v/>
      </c>
      <c r="M281" s="65" t="str">
        <f ca="1">IF(OR(L281="",L281="fill"),"",MATCH(IF(L281="enumeration",J281&amp;"|"&amp;G281,Design!L281),Elements!N:N,0))</f>
        <v/>
      </c>
      <c r="N281" s="65" t="str">
        <f t="shared" si="65"/>
        <v/>
      </c>
      <c r="O281" s="65" t="str">
        <f ca="1">"Elements!"&amp;INDEX(Elements!H:H,MATCH(Design!J281,Elements!J:J,0))</f>
        <v>Elements!K36:K44</v>
      </c>
      <c r="P281" s="65" t="str">
        <f t="shared" ref="P281:P344" ca="1" si="71">IF(OR(L281="bool",L281="numeric",L281="formatting"),"",CHAR(34))</f>
        <v>"</v>
      </c>
      <c r="Q281" s="75" t="str">
        <f t="shared" si="62"/>
        <v/>
      </c>
      <c r="R281" s="5" t="str">
        <f t="shared" si="63"/>
        <v/>
      </c>
      <c r="S281" s="5" t="str">
        <f t="shared" si="61"/>
        <v/>
      </c>
      <c r="T281" s="76" t="str">
        <f t="shared" si="64"/>
        <v/>
      </c>
      <c r="U281" s="5">
        <f t="shared" si="70"/>
        <v>0</v>
      </c>
      <c r="V281" s="5">
        <f t="shared" si="70"/>
        <v>0</v>
      </c>
      <c r="W281" s="77" t="str">
        <f t="shared" si="66"/>
        <v/>
      </c>
      <c r="X281" s="65" t="str">
        <f t="shared" si="67"/>
        <v/>
      </c>
      <c r="Y281" s="78" t="str">
        <f t="shared" si="68"/>
        <v/>
      </c>
      <c r="Z281" s="21"/>
      <c r="AA281" s="138"/>
      <c r="AB281" s="21"/>
    </row>
    <row r="282" spans="1:28" x14ac:dyDescent="0.25">
      <c r="A282" s="21"/>
      <c r="B282" s="18"/>
      <c r="C282" s="85" t="str">
        <f>IF(B282="","",INDEX(Elements!B:B,MATCH(Design!B282,Elements!A:A,0)))</f>
        <v/>
      </c>
      <c r="D282" s="13"/>
      <c r="E282" s="85" t="str">
        <f>IFERROR(IF(D282="","",INDEX(Elements!J:J,MATCH(Design!D282,Elements!I:I,0))),SUBSTITUTE(D282," ",""))</f>
        <v/>
      </c>
      <c r="F282" s="13"/>
      <c r="G282" s="84" t="str">
        <f>IFERROR(IF(F282="","",INDEX(Elements!L:L,MATCH(Design!F282,Elements!K:K,0))),F282)</f>
        <v/>
      </c>
      <c r="H282" s="12"/>
      <c r="I282" s="14"/>
      <c r="J282" s="63" t="str">
        <f t="shared" ca="1" si="69"/>
        <v>columnHeaders</v>
      </c>
      <c r="K282" s="63">
        <f t="shared" ca="1" si="60"/>
        <v>0</v>
      </c>
      <c r="L282" s="63" t="str">
        <f ca="1">IF(K282="fontFamily","fontFamily",IF(K282="fontSize","fontSize",IFERROR(INDEX(Elements!M:M,MATCH(Design!J282&amp;"|"&amp;Design!K282,Elements!N:N,0)),"")))</f>
        <v/>
      </c>
      <c r="M282" s="65" t="str">
        <f ca="1">IF(OR(L282="",L282="fill"),"",MATCH(IF(L282="enumeration",J282&amp;"|"&amp;G282,Design!L282),Elements!N:N,0))</f>
        <v/>
      </c>
      <c r="N282" s="65" t="str">
        <f t="shared" si="65"/>
        <v/>
      </c>
      <c r="O282" s="65" t="str">
        <f ca="1">"Elements!"&amp;INDEX(Elements!H:H,MATCH(Design!J282,Elements!J:J,0))</f>
        <v>Elements!K36:K44</v>
      </c>
      <c r="P282" s="65" t="str">
        <f t="shared" ca="1" si="71"/>
        <v>"</v>
      </c>
      <c r="Q282" s="75" t="str">
        <f t="shared" si="62"/>
        <v/>
      </c>
      <c r="R282" s="5" t="str">
        <f t="shared" si="63"/>
        <v/>
      </c>
      <c r="S282" s="5" t="str">
        <f t="shared" si="61"/>
        <v/>
      </c>
      <c r="T282" s="76" t="str">
        <f t="shared" si="64"/>
        <v/>
      </c>
      <c r="U282" s="5">
        <f t="shared" si="70"/>
        <v>0</v>
      </c>
      <c r="V282" s="5">
        <f t="shared" si="70"/>
        <v>0</v>
      </c>
      <c r="W282" s="77" t="str">
        <f t="shared" si="66"/>
        <v/>
      </c>
      <c r="X282" s="65" t="str">
        <f t="shared" si="67"/>
        <v/>
      </c>
      <c r="Y282" s="78" t="str">
        <f t="shared" si="68"/>
        <v/>
      </c>
      <c r="Z282" s="21"/>
      <c r="AA282" s="138"/>
      <c r="AB282" s="21"/>
    </row>
    <row r="283" spans="1:28" x14ac:dyDescent="0.25">
      <c r="A283" s="21"/>
      <c r="B283" s="18"/>
      <c r="C283" s="85" t="str">
        <f>IF(B283="","",INDEX(Elements!B:B,MATCH(Design!B283,Elements!A:A,0)))</f>
        <v/>
      </c>
      <c r="D283" s="13"/>
      <c r="E283" s="85" t="str">
        <f>IFERROR(IF(D283="","",INDEX(Elements!J:J,MATCH(Design!D283,Elements!I:I,0))),SUBSTITUTE(D283," ",""))</f>
        <v/>
      </c>
      <c r="F283" s="13"/>
      <c r="G283" s="84" t="str">
        <f>IFERROR(IF(F283="","",INDEX(Elements!L:L,MATCH(Design!F283,Elements!K:K,0))),F283)</f>
        <v/>
      </c>
      <c r="H283" s="12"/>
      <c r="I283" s="14"/>
      <c r="J283" s="63" t="str">
        <f t="shared" ca="1" si="69"/>
        <v>columnHeaders</v>
      </c>
      <c r="K283" s="63">
        <f t="shared" ca="1" si="60"/>
        <v>0</v>
      </c>
      <c r="L283" s="63" t="str">
        <f ca="1">IF(K283="fontFamily","fontFamily",IF(K283="fontSize","fontSize",IFERROR(INDEX(Elements!M:M,MATCH(Design!J283&amp;"|"&amp;Design!K283,Elements!N:N,0)),"")))</f>
        <v/>
      </c>
      <c r="M283" s="65" t="str">
        <f ca="1">IF(OR(L283="",L283="fill"),"",MATCH(IF(L283="enumeration",J283&amp;"|"&amp;G283,Design!L283),Elements!N:N,0))</f>
        <v/>
      </c>
      <c r="N283" s="65" t="str">
        <f t="shared" si="65"/>
        <v/>
      </c>
      <c r="O283" s="65" t="str">
        <f ca="1">"Elements!"&amp;INDEX(Elements!H:H,MATCH(Design!J283,Elements!J:J,0))</f>
        <v>Elements!K36:K44</v>
      </c>
      <c r="P283" s="65" t="str">
        <f t="shared" ca="1" si="71"/>
        <v>"</v>
      </c>
      <c r="Q283" s="75" t="str">
        <f t="shared" si="62"/>
        <v/>
      </c>
      <c r="R283" s="5" t="str">
        <f t="shared" si="63"/>
        <v/>
      </c>
      <c r="S283" s="5" t="str">
        <f t="shared" si="61"/>
        <v/>
      </c>
      <c r="T283" s="76" t="str">
        <f t="shared" si="64"/>
        <v/>
      </c>
      <c r="U283" s="5">
        <f t="shared" si="70"/>
        <v>0</v>
      </c>
      <c r="V283" s="5">
        <f t="shared" si="70"/>
        <v>0</v>
      </c>
      <c r="W283" s="77" t="str">
        <f t="shared" si="66"/>
        <v/>
      </c>
      <c r="X283" s="65" t="str">
        <f t="shared" si="67"/>
        <v/>
      </c>
      <c r="Y283" s="78" t="str">
        <f t="shared" si="68"/>
        <v/>
      </c>
      <c r="Z283" s="21"/>
      <c r="AA283" s="138"/>
      <c r="AB283" s="21"/>
    </row>
    <row r="284" spans="1:28" x14ac:dyDescent="0.25">
      <c r="A284" s="21"/>
      <c r="B284" s="18"/>
      <c r="C284" s="85" t="str">
        <f>IF(B284="","",INDEX(Elements!B:B,MATCH(Design!B284,Elements!A:A,0)))</f>
        <v/>
      </c>
      <c r="D284" s="13"/>
      <c r="E284" s="85" t="str">
        <f>IFERROR(IF(D284="","",INDEX(Elements!J:J,MATCH(Design!D284,Elements!I:I,0))),SUBSTITUTE(D284," ",""))</f>
        <v/>
      </c>
      <c r="F284" s="13"/>
      <c r="G284" s="84" t="str">
        <f>IFERROR(IF(F284="","",INDEX(Elements!L:L,MATCH(Design!F284,Elements!K:K,0))),F284)</f>
        <v/>
      </c>
      <c r="H284" s="12"/>
      <c r="I284" s="14"/>
      <c r="J284" s="63" t="str">
        <f t="shared" ca="1" si="69"/>
        <v>columnHeaders</v>
      </c>
      <c r="K284" s="63">
        <f t="shared" ca="1" si="60"/>
        <v>0</v>
      </c>
      <c r="L284" s="63" t="str">
        <f ca="1">IF(K284="fontFamily","fontFamily",IF(K284="fontSize","fontSize",IFERROR(INDEX(Elements!M:M,MATCH(Design!J284&amp;"|"&amp;Design!K284,Elements!N:N,0)),"")))</f>
        <v/>
      </c>
      <c r="M284" s="65" t="str">
        <f ca="1">IF(OR(L284="",L284="fill"),"",MATCH(IF(L284="enumeration",J284&amp;"|"&amp;G284,Design!L284),Elements!N:N,0))</f>
        <v/>
      </c>
      <c r="N284" s="65" t="str">
        <f t="shared" si="65"/>
        <v/>
      </c>
      <c r="O284" s="65" t="str">
        <f ca="1">"Elements!"&amp;INDEX(Elements!H:H,MATCH(Design!J284,Elements!J:J,0))</f>
        <v>Elements!K36:K44</v>
      </c>
      <c r="P284" s="65" t="str">
        <f t="shared" ca="1" si="71"/>
        <v>"</v>
      </c>
      <c r="Q284" s="75" t="str">
        <f t="shared" si="62"/>
        <v/>
      </c>
      <c r="R284" s="5" t="str">
        <f t="shared" si="63"/>
        <v/>
      </c>
      <c r="S284" s="5" t="str">
        <f t="shared" si="61"/>
        <v/>
      </c>
      <c r="T284" s="76" t="str">
        <f t="shared" si="64"/>
        <v/>
      </c>
      <c r="U284" s="5">
        <f t="shared" si="70"/>
        <v>0</v>
      </c>
      <c r="V284" s="5">
        <f t="shared" si="70"/>
        <v>0</v>
      </c>
      <c r="W284" s="77" t="str">
        <f t="shared" si="66"/>
        <v/>
      </c>
      <c r="X284" s="65" t="str">
        <f t="shared" si="67"/>
        <v/>
      </c>
      <c r="Y284" s="78" t="str">
        <f t="shared" si="68"/>
        <v/>
      </c>
      <c r="Z284" s="21"/>
      <c r="AA284" s="138"/>
      <c r="AB284" s="21"/>
    </row>
    <row r="285" spans="1:28" x14ac:dyDescent="0.25">
      <c r="A285" s="21"/>
      <c r="B285" s="18"/>
      <c r="C285" s="85" t="str">
        <f>IF(B285="","",INDEX(Elements!B:B,MATCH(Design!B285,Elements!A:A,0)))</f>
        <v/>
      </c>
      <c r="D285" s="13"/>
      <c r="E285" s="85" t="str">
        <f>IFERROR(IF(D285="","",INDEX(Elements!J:J,MATCH(Design!D285,Elements!I:I,0))),SUBSTITUTE(D285," ",""))</f>
        <v/>
      </c>
      <c r="F285" s="13"/>
      <c r="G285" s="84" t="str">
        <f>IFERROR(IF(F285="","",INDEX(Elements!L:L,MATCH(Design!F285,Elements!K:K,0))),F285)</f>
        <v/>
      </c>
      <c r="H285" s="12"/>
      <c r="I285" s="14"/>
      <c r="J285" s="63" t="str">
        <f t="shared" ca="1" si="69"/>
        <v>columnHeaders</v>
      </c>
      <c r="K285" s="63">
        <f t="shared" ca="1" si="60"/>
        <v>0</v>
      </c>
      <c r="L285" s="63" t="str">
        <f ca="1">IF(K285="fontFamily","fontFamily",IF(K285="fontSize","fontSize",IFERROR(INDEX(Elements!M:M,MATCH(Design!J285&amp;"|"&amp;Design!K285,Elements!N:N,0)),"")))</f>
        <v/>
      </c>
      <c r="M285" s="65" t="str">
        <f ca="1">IF(OR(L285="",L285="fill"),"",MATCH(IF(L285="enumeration",J285&amp;"|"&amp;G285,Design!L285),Elements!N:N,0))</f>
        <v/>
      </c>
      <c r="N285" s="65" t="str">
        <f t="shared" si="65"/>
        <v/>
      </c>
      <c r="O285" s="65" t="str">
        <f ca="1">"Elements!"&amp;INDEX(Elements!H:H,MATCH(Design!J285,Elements!J:J,0))</f>
        <v>Elements!K36:K44</v>
      </c>
      <c r="P285" s="65" t="str">
        <f t="shared" ca="1" si="71"/>
        <v>"</v>
      </c>
      <c r="Q285" s="75" t="str">
        <f t="shared" si="62"/>
        <v/>
      </c>
      <c r="R285" s="5" t="str">
        <f t="shared" si="63"/>
        <v/>
      </c>
      <c r="S285" s="5" t="str">
        <f t="shared" si="61"/>
        <v/>
      </c>
      <c r="T285" s="76" t="str">
        <f t="shared" si="64"/>
        <v/>
      </c>
      <c r="U285" s="5">
        <f t="shared" si="70"/>
        <v>0</v>
      </c>
      <c r="V285" s="5">
        <f t="shared" si="70"/>
        <v>0</v>
      </c>
      <c r="W285" s="77" t="str">
        <f t="shared" si="66"/>
        <v/>
      </c>
      <c r="X285" s="65" t="str">
        <f t="shared" si="67"/>
        <v/>
      </c>
      <c r="Y285" s="78" t="str">
        <f t="shared" si="68"/>
        <v/>
      </c>
      <c r="Z285" s="21"/>
      <c r="AA285" s="138"/>
      <c r="AB285" s="21"/>
    </row>
    <row r="286" spans="1:28" x14ac:dyDescent="0.25">
      <c r="A286" s="21"/>
      <c r="B286" s="18"/>
      <c r="C286" s="85" t="str">
        <f>IF(B286="","",INDEX(Elements!B:B,MATCH(Design!B286,Elements!A:A,0)))</f>
        <v/>
      </c>
      <c r="D286" s="13"/>
      <c r="E286" s="85" t="str">
        <f>IFERROR(IF(D286="","",INDEX(Elements!J:J,MATCH(Design!D286,Elements!I:I,0))),SUBSTITUTE(D286," ",""))</f>
        <v/>
      </c>
      <c r="F286" s="13"/>
      <c r="G286" s="84" t="str">
        <f>IFERROR(IF(F286="","",INDEX(Elements!L:L,MATCH(Design!F286,Elements!K:K,0))),F286)</f>
        <v/>
      </c>
      <c r="H286" s="12"/>
      <c r="I286" s="14"/>
      <c r="J286" s="63" t="str">
        <f t="shared" ca="1" si="69"/>
        <v>columnHeaders</v>
      </c>
      <c r="K286" s="63">
        <f t="shared" ca="1" si="60"/>
        <v>0</v>
      </c>
      <c r="L286" s="63" t="str">
        <f ca="1">IF(K286="fontFamily","fontFamily",IF(K286="fontSize","fontSize",IFERROR(INDEX(Elements!M:M,MATCH(Design!J286&amp;"|"&amp;Design!K286,Elements!N:N,0)),"")))</f>
        <v/>
      </c>
      <c r="M286" s="65" t="str">
        <f ca="1">IF(OR(L286="",L286="fill"),"",MATCH(IF(L286="enumeration",J286&amp;"|"&amp;G286,Design!L286),Elements!N:N,0))</f>
        <v/>
      </c>
      <c r="N286" s="65" t="str">
        <f t="shared" si="65"/>
        <v/>
      </c>
      <c r="O286" s="65" t="str">
        <f ca="1">"Elements!"&amp;INDEX(Elements!H:H,MATCH(Design!J286,Elements!J:J,0))</f>
        <v>Elements!K36:K44</v>
      </c>
      <c r="P286" s="65" t="str">
        <f t="shared" ca="1" si="71"/>
        <v>"</v>
      </c>
      <c r="Q286" s="75" t="str">
        <f t="shared" si="62"/>
        <v/>
      </c>
      <c r="R286" s="5" t="str">
        <f t="shared" si="63"/>
        <v/>
      </c>
      <c r="S286" s="5" t="str">
        <f t="shared" si="61"/>
        <v/>
      </c>
      <c r="T286" s="76" t="str">
        <f t="shared" si="64"/>
        <v/>
      </c>
      <c r="U286" s="5">
        <f t="shared" si="70"/>
        <v>0</v>
      </c>
      <c r="V286" s="5">
        <f t="shared" si="70"/>
        <v>0</v>
      </c>
      <c r="W286" s="77" t="str">
        <f t="shared" si="66"/>
        <v/>
      </c>
      <c r="X286" s="65" t="str">
        <f t="shared" si="67"/>
        <v/>
      </c>
      <c r="Y286" s="78" t="str">
        <f t="shared" si="68"/>
        <v/>
      </c>
      <c r="Z286" s="21"/>
      <c r="AA286" s="138"/>
      <c r="AB286" s="21"/>
    </row>
    <row r="287" spans="1:28" x14ac:dyDescent="0.25">
      <c r="A287" s="21"/>
      <c r="B287" s="18"/>
      <c r="C287" s="85" t="str">
        <f>IF(B287="","",INDEX(Elements!B:B,MATCH(Design!B287,Elements!A:A,0)))</f>
        <v/>
      </c>
      <c r="D287" s="13"/>
      <c r="E287" s="85" t="str">
        <f>IFERROR(IF(D287="","",INDEX(Elements!J:J,MATCH(Design!D287,Elements!I:I,0))),SUBSTITUTE(D287," ",""))</f>
        <v/>
      </c>
      <c r="F287" s="13"/>
      <c r="G287" s="84" t="str">
        <f>IFERROR(IF(F287="","",INDEX(Elements!L:L,MATCH(Design!F287,Elements!K:K,0))),F287)</f>
        <v/>
      </c>
      <c r="H287" s="12"/>
      <c r="I287" s="14"/>
      <c r="J287" s="63" t="str">
        <f t="shared" ca="1" si="69"/>
        <v>columnHeaders</v>
      </c>
      <c r="K287" s="63">
        <f t="shared" ca="1" si="60"/>
        <v>0</v>
      </c>
      <c r="L287" s="63" t="str">
        <f ca="1">IF(K287="fontFamily","fontFamily",IF(K287="fontSize","fontSize",IFERROR(INDEX(Elements!M:M,MATCH(Design!J287&amp;"|"&amp;Design!K287,Elements!N:N,0)),"")))</f>
        <v/>
      </c>
      <c r="M287" s="65" t="str">
        <f ca="1">IF(OR(L287="",L287="fill"),"",MATCH(IF(L287="enumeration",J287&amp;"|"&amp;G287,Design!L287),Elements!N:N,0))</f>
        <v/>
      </c>
      <c r="N287" s="65" t="str">
        <f t="shared" si="65"/>
        <v/>
      </c>
      <c r="O287" s="65" t="str">
        <f ca="1">"Elements!"&amp;INDEX(Elements!H:H,MATCH(Design!J287,Elements!J:J,0))</f>
        <v>Elements!K36:K44</v>
      </c>
      <c r="P287" s="65" t="str">
        <f t="shared" ca="1" si="71"/>
        <v>"</v>
      </c>
      <c r="Q287" s="75" t="str">
        <f t="shared" si="62"/>
        <v/>
      </c>
      <c r="R287" s="5" t="str">
        <f t="shared" si="63"/>
        <v/>
      </c>
      <c r="S287" s="5" t="str">
        <f t="shared" si="61"/>
        <v/>
      </c>
      <c r="T287" s="76" t="str">
        <f t="shared" si="64"/>
        <v/>
      </c>
      <c r="U287" s="5">
        <f t="shared" si="70"/>
        <v>0</v>
      </c>
      <c r="V287" s="5">
        <f t="shared" si="70"/>
        <v>0</v>
      </c>
      <c r="W287" s="77" t="str">
        <f t="shared" si="66"/>
        <v/>
      </c>
      <c r="X287" s="65" t="str">
        <f t="shared" si="67"/>
        <v/>
      </c>
      <c r="Y287" s="78" t="str">
        <f t="shared" si="68"/>
        <v/>
      </c>
      <c r="Z287" s="21"/>
      <c r="AA287" s="138"/>
      <c r="AB287" s="21"/>
    </row>
    <row r="288" spans="1:28" x14ac:dyDescent="0.25">
      <c r="A288" s="21"/>
      <c r="B288" s="18"/>
      <c r="C288" s="85" t="str">
        <f>IF(B288="","",INDEX(Elements!B:B,MATCH(Design!B288,Elements!A:A,0)))</f>
        <v/>
      </c>
      <c r="D288" s="13"/>
      <c r="E288" s="85" t="str">
        <f>IFERROR(IF(D288="","",INDEX(Elements!J:J,MATCH(Design!D288,Elements!I:I,0))),SUBSTITUTE(D288," ",""))</f>
        <v/>
      </c>
      <c r="F288" s="13"/>
      <c r="G288" s="84" t="str">
        <f>IFERROR(IF(F288="","",INDEX(Elements!L:L,MATCH(Design!F288,Elements!K:K,0))),F288)</f>
        <v/>
      </c>
      <c r="H288" s="12"/>
      <c r="I288" s="14"/>
      <c r="J288" s="63" t="str">
        <f t="shared" ca="1" si="69"/>
        <v>columnHeaders</v>
      </c>
      <c r="K288" s="63">
        <f t="shared" ca="1" si="60"/>
        <v>0</v>
      </c>
      <c r="L288" s="63" t="str">
        <f ca="1">IF(K288="fontFamily","fontFamily",IF(K288="fontSize","fontSize",IFERROR(INDEX(Elements!M:M,MATCH(Design!J288&amp;"|"&amp;Design!K288,Elements!N:N,0)),"")))</f>
        <v/>
      </c>
      <c r="M288" s="65" t="str">
        <f ca="1">IF(OR(L288="",L288="fill"),"",MATCH(IF(L288="enumeration",J288&amp;"|"&amp;G288,Design!L288),Elements!N:N,0))</f>
        <v/>
      </c>
      <c r="N288" s="65" t="str">
        <f t="shared" si="65"/>
        <v/>
      </c>
      <c r="O288" s="65" t="str">
        <f ca="1">"Elements!"&amp;INDEX(Elements!H:H,MATCH(Design!J288,Elements!J:J,0))</f>
        <v>Elements!K36:K44</v>
      </c>
      <c r="P288" s="65" t="str">
        <f t="shared" ca="1" si="71"/>
        <v>"</v>
      </c>
      <c r="Q288" s="75" t="str">
        <f t="shared" si="62"/>
        <v/>
      </c>
      <c r="R288" s="5" t="str">
        <f t="shared" si="63"/>
        <v/>
      </c>
      <c r="S288" s="5" t="str">
        <f t="shared" si="61"/>
        <v/>
      </c>
      <c r="T288" s="76" t="str">
        <f t="shared" si="64"/>
        <v/>
      </c>
      <c r="U288" s="5">
        <f t="shared" si="70"/>
        <v>0</v>
      </c>
      <c r="V288" s="5">
        <f t="shared" si="70"/>
        <v>0</v>
      </c>
      <c r="W288" s="77" t="str">
        <f t="shared" si="66"/>
        <v/>
      </c>
      <c r="X288" s="65" t="str">
        <f t="shared" si="67"/>
        <v/>
      </c>
      <c r="Y288" s="78" t="str">
        <f t="shared" si="68"/>
        <v/>
      </c>
      <c r="Z288" s="21"/>
      <c r="AA288" s="138"/>
      <c r="AB288" s="21"/>
    </row>
    <row r="289" spans="1:28" x14ac:dyDescent="0.25">
      <c r="A289" s="21"/>
      <c r="B289" s="18"/>
      <c r="C289" s="85" t="str">
        <f>IF(B289="","",INDEX(Elements!B:B,MATCH(Design!B289,Elements!A:A,0)))</f>
        <v/>
      </c>
      <c r="D289" s="13"/>
      <c r="E289" s="85" t="str">
        <f>IFERROR(IF(D289="","",INDEX(Elements!J:J,MATCH(Design!D289,Elements!I:I,0))),SUBSTITUTE(D289," ",""))</f>
        <v/>
      </c>
      <c r="F289" s="13"/>
      <c r="G289" s="84" t="str">
        <f>IFERROR(IF(F289="","",INDEX(Elements!L:L,MATCH(Design!F289,Elements!K:K,0))),F289)</f>
        <v/>
      </c>
      <c r="H289" s="12"/>
      <c r="I289" s="14"/>
      <c r="J289" s="63" t="str">
        <f t="shared" ca="1" si="69"/>
        <v>columnHeaders</v>
      </c>
      <c r="K289" s="63">
        <f t="shared" ca="1" si="60"/>
        <v>0</v>
      </c>
      <c r="L289" s="63" t="str">
        <f ca="1">IF(K289="fontFamily","fontFamily",IF(K289="fontSize","fontSize",IFERROR(INDEX(Elements!M:M,MATCH(Design!J289&amp;"|"&amp;Design!K289,Elements!N:N,0)),"")))</f>
        <v/>
      </c>
      <c r="M289" s="65" t="str">
        <f ca="1">IF(OR(L289="",L289="fill"),"",MATCH(IF(L289="enumeration",J289&amp;"|"&amp;G289,Design!L289),Elements!N:N,0))</f>
        <v/>
      </c>
      <c r="N289" s="65" t="str">
        <f t="shared" si="65"/>
        <v/>
      </c>
      <c r="O289" s="65" t="str">
        <f ca="1">"Elements!"&amp;INDEX(Elements!H:H,MATCH(Design!J289,Elements!J:J,0))</f>
        <v>Elements!K36:K44</v>
      </c>
      <c r="P289" s="65" t="str">
        <f t="shared" ca="1" si="71"/>
        <v>"</v>
      </c>
      <c r="Q289" s="75" t="str">
        <f t="shared" si="62"/>
        <v/>
      </c>
      <c r="R289" s="5" t="str">
        <f t="shared" si="63"/>
        <v/>
      </c>
      <c r="S289" s="5" t="str">
        <f t="shared" si="61"/>
        <v/>
      </c>
      <c r="T289" s="76" t="str">
        <f t="shared" si="64"/>
        <v/>
      </c>
      <c r="U289" s="5">
        <f t="shared" si="70"/>
        <v>0</v>
      </c>
      <c r="V289" s="5">
        <f t="shared" si="70"/>
        <v>0</v>
      </c>
      <c r="W289" s="77" t="str">
        <f t="shared" si="66"/>
        <v/>
      </c>
      <c r="X289" s="65" t="str">
        <f t="shared" si="67"/>
        <v/>
      </c>
      <c r="Y289" s="78" t="str">
        <f t="shared" si="68"/>
        <v/>
      </c>
      <c r="Z289" s="21"/>
      <c r="AA289" s="138"/>
      <c r="AB289" s="21"/>
    </row>
    <row r="290" spans="1:28" x14ac:dyDescent="0.25">
      <c r="A290" s="21"/>
      <c r="B290" s="18"/>
      <c r="C290" s="85" t="str">
        <f>IF(B290="","",INDEX(Elements!B:B,MATCH(Design!B290,Elements!A:A,0)))</f>
        <v/>
      </c>
      <c r="D290" s="13"/>
      <c r="E290" s="85" t="str">
        <f>IFERROR(IF(D290="","",INDEX(Elements!J:J,MATCH(Design!D290,Elements!I:I,0))),SUBSTITUTE(D290," ",""))</f>
        <v/>
      </c>
      <c r="F290" s="13"/>
      <c r="G290" s="84" t="str">
        <f>IFERROR(IF(F290="","",INDEX(Elements!L:L,MATCH(Design!F290,Elements!K:K,0))),F290)</f>
        <v/>
      </c>
      <c r="H290" s="12"/>
      <c r="I290" s="14"/>
      <c r="J290" s="63" t="str">
        <f t="shared" ca="1" si="69"/>
        <v>columnHeaders</v>
      </c>
      <c r="K290" s="63">
        <f t="shared" ca="1" si="60"/>
        <v>0</v>
      </c>
      <c r="L290" s="63" t="str">
        <f ca="1">IF(K290="fontFamily","fontFamily",IF(K290="fontSize","fontSize",IFERROR(INDEX(Elements!M:M,MATCH(Design!J290&amp;"|"&amp;Design!K290,Elements!N:N,0)),"")))</f>
        <v/>
      </c>
      <c r="M290" s="65" t="str">
        <f ca="1">IF(OR(L290="",L290="fill"),"",MATCH(IF(L290="enumeration",J290&amp;"|"&amp;G290,Design!L290),Elements!N:N,0))</f>
        <v/>
      </c>
      <c r="N290" s="65" t="str">
        <f t="shared" si="65"/>
        <v/>
      </c>
      <c r="O290" s="65" t="str">
        <f ca="1">"Elements!"&amp;INDEX(Elements!H:H,MATCH(Design!J290,Elements!J:J,0))</f>
        <v>Elements!K36:K44</v>
      </c>
      <c r="P290" s="65" t="str">
        <f t="shared" ca="1" si="71"/>
        <v>"</v>
      </c>
      <c r="Q290" s="75" t="str">
        <f t="shared" si="62"/>
        <v/>
      </c>
      <c r="R290" s="5" t="str">
        <f t="shared" si="63"/>
        <v/>
      </c>
      <c r="S290" s="5" t="str">
        <f t="shared" si="61"/>
        <v/>
      </c>
      <c r="T290" s="76" t="str">
        <f t="shared" si="64"/>
        <v/>
      </c>
      <c r="U290" s="5">
        <f t="shared" si="70"/>
        <v>0</v>
      </c>
      <c r="V290" s="5">
        <f t="shared" si="70"/>
        <v>0</v>
      </c>
      <c r="W290" s="77" t="str">
        <f t="shared" si="66"/>
        <v/>
      </c>
      <c r="X290" s="65" t="str">
        <f t="shared" si="67"/>
        <v/>
      </c>
      <c r="Y290" s="78" t="str">
        <f t="shared" si="68"/>
        <v/>
      </c>
      <c r="Z290" s="21"/>
      <c r="AA290" s="138"/>
      <c r="AB290" s="21"/>
    </row>
    <row r="291" spans="1:28" x14ac:dyDescent="0.25">
      <c r="A291" s="21"/>
      <c r="B291" s="18"/>
      <c r="C291" s="85" t="str">
        <f>IF(B291="","",INDEX(Elements!B:B,MATCH(Design!B291,Elements!A:A,0)))</f>
        <v/>
      </c>
      <c r="D291" s="13"/>
      <c r="E291" s="85" t="str">
        <f>IFERROR(IF(D291="","",INDEX(Elements!J:J,MATCH(Design!D291,Elements!I:I,0))),SUBSTITUTE(D291," ",""))</f>
        <v/>
      </c>
      <c r="F291" s="13"/>
      <c r="G291" s="84" t="str">
        <f>IFERROR(IF(F291="","",INDEX(Elements!L:L,MATCH(Design!F291,Elements!K:K,0))),F291)</f>
        <v/>
      </c>
      <c r="H291" s="12"/>
      <c r="I291" s="14"/>
      <c r="J291" s="63" t="str">
        <f t="shared" ca="1" si="69"/>
        <v>columnHeaders</v>
      </c>
      <c r="K291" s="63">
        <f t="shared" ca="1" si="60"/>
        <v>0</v>
      </c>
      <c r="L291" s="63" t="str">
        <f ca="1">IF(K291="fontFamily","fontFamily",IF(K291="fontSize","fontSize",IFERROR(INDEX(Elements!M:M,MATCH(Design!J291&amp;"|"&amp;Design!K291,Elements!N:N,0)),"")))</f>
        <v/>
      </c>
      <c r="M291" s="65" t="str">
        <f ca="1">IF(OR(L291="",L291="fill"),"",MATCH(IF(L291="enumeration",J291&amp;"|"&amp;G291,Design!L291),Elements!N:N,0))</f>
        <v/>
      </c>
      <c r="N291" s="65" t="str">
        <f t="shared" si="65"/>
        <v/>
      </c>
      <c r="O291" s="65" t="str">
        <f ca="1">"Elements!"&amp;INDEX(Elements!H:H,MATCH(Design!J291,Elements!J:J,0))</f>
        <v>Elements!K36:K44</v>
      </c>
      <c r="P291" s="65" t="str">
        <f t="shared" ca="1" si="71"/>
        <v>"</v>
      </c>
      <c r="Q291" s="75" t="str">
        <f t="shared" si="62"/>
        <v/>
      </c>
      <c r="R291" s="5" t="str">
        <f t="shared" si="63"/>
        <v/>
      </c>
      <c r="S291" s="5" t="str">
        <f t="shared" si="61"/>
        <v/>
      </c>
      <c r="T291" s="76" t="str">
        <f t="shared" si="64"/>
        <v/>
      </c>
      <c r="U291" s="5">
        <f t="shared" si="70"/>
        <v>0</v>
      </c>
      <c r="V291" s="5">
        <f t="shared" si="70"/>
        <v>0</v>
      </c>
      <c r="W291" s="77" t="str">
        <f t="shared" si="66"/>
        <v/>
      </c>
      <c r="X291" s="65" t="str">
        <f t="shared" si="67"/>
        <v/>
      </c>
      <c r="Y291" s="78" t="str">
        <f t="shared" si="68"/>
        <v/>
      </c>
      <c r="Z291" s="21"/>
      <c r="AA291" s="138"/>
      <c r="AB291" s="21"/>
    </row>
    <row r="292" spans="1:28" x14ac:dyDescent="0.25">
      <c r="A292" s="21"/>
      <c r="B292" s="18"/>
      <c r="C292" s="85" t="str">
        <f>IF(B292="","",INDEX(Elements!B:B,MATCH(Design!B292,Elements!A:A,0)))</f>
        <v/>
      </c>
      <c r="D292" s="13"/>
      <c r="E292" s="85" t="str">
        <f>IFERROR(IF(D292="","",INDEX(Elements!J:J,MATCH(Design!D292,Elements!I:I,0))),SUBSTITUTE(D292," ",""))</f>
        <v/>
      </c>
      <c r="F292" s="13"/>
      <c r="G292" s="84" t="str">
        <f>IFERROR(IF(F292="","",INDEX(Elements!L:L,MATCH(Design!F292,Elements!K:K,0))),F292)</f>
        <v/>
      </c>
      <c r="H292" s="12"/>
      <c r="I292" s="14"/>
      <c r="J292" s="63" t="str">
        <f t="shared" ca="1" si="69"/>
        <v>columnHeaders</v>
      </c>
      <c r="K292" s="63">
        <f t="shared" ca="1" si="60"/>
        <v>0</v>
      </c>
      <c r="L292" s="63" t="str">
        <f ca="1">IF(K292="fontFamily","fontFamily",IF(K292="fontSize","fontSize",IFERROR(INDEX(Elements!M:M,MATCH(Design!J292&amp;"|"&amp;Design!K292,Elements!N:N,0)),"")))</f>
        <v/>
      </c>
      <c r="M292" s="65" t="str">
        <f ca="1">IF(OR(L292="",L292="fill"),"",MATCH(IF(L292="enumeration",J292&amp;"|"&amp;G292,Design!L292),Elements!N:N,0))</f>
        <v/>
      </c>
      <c r="N292" s="65" t="str">
        <f t="shared" si="65"/>
        <v/>
      </c>
      <c r="O292" s="65" t="str">
        <f ca="1">"Elements!"&amp;INDEX(Elements!H:H,MATCH(Design!J292,Elements!J:J,0))</f>
        <v>Elements!K36:K44</v>
      </c>
      <c r="P292" s="65" t="str">
        <f t="shared" ca="1" si="71"/>
        <v>"</v>
      </c>
      <c r="Q292" s="75" t="str">
        <f t="shared" si="62"/>
        <v/>
      </c>
      <c r="R292" s="5" t="str">
        <f t="shared" si="63"/>
        <v/>
      </c>
      <c r="S292" s="5" t="str">
        <f t="shared" si="61"/>
        <v/>
      </c>
      <c r="T292" s="76" t="str">
        <f t="shared" si="64"/>
        <v/>
      </c>
      <c r="U292" s="5">
        <f t="shared" si="70"/>
        <v>0</v>
      </c>
      <c r="V292" s="5">
        <f t="shared" si="70"/>
        <v>0</v>
      </c>
      <c r="W292" s="77" t="str">
        <f t="shared" si="66"/>
        <v/>
      </c>
      <c r="X292" s="65" t="str">
        <f t="shared" si="67"/>
        <v/>
      </c>
      <c r="Y292" s="78" t="str">
        <f t="shared" si="68"/>
        <v/>
      </c>
      <c r="Z292" s="21"/>
      <c r="AA292" s="138"/>
      <c r="AB292" s="21"/>
    </row>
    <row r="293" spans="1:28" x14ac:dyDescent="0.25">
      <c r="A293" s="21"/>
      <c r="B293" s="18"/>
      <c r="C293" s="85" t="str">
        <f>IF(B293="","",INDEX(Elements!B:B,MATCH(Design!B293,Elements!A:A,0)))</f>
        <v/>
      </c>
      <c r="D293" s="13"/>
      <c r="E293" s="85" t="str">
        <f>IFERROR(IF(D293="","",INDEX(Elements!J:J,MATCH(Design!D293,Elements!I:I,0))),SUBSTITUTE(D293," ",""))</f>
        <v/>
      </c>
      <c r="F293" s="13"/>
      <c r="G293" s="84" t="str">
        <f>IFERROR(IF(F293="","",INDEX(Elements!L:L,MATCH(Design!F293,Elements!K:K,0))),F293)</f>
        <v/>
      </c>
      <c r="H293" s="12"/>
      <c r="I293" s="14"/>
      <c r="J293" s="63" t="str">
        <f t="shared" ca="1" si="69"/>
        <v>columnHeaders</v>
      </c>
      <c r="K293" s="63">
        <f t="shared" ca="1" si="60"/>
        <v>0</v>
      </c>
      <c r="L293" s="63" t="str">
        <f ca="1">IF(K293="fontFamily","fontFamily",IF(K293="fontSize","fontSize",IFERROR(INDEX(Elements!M:M,MATCH(Design!J293&amp;"|"&amp;Design!K293,Elements!N:N,0)),"")))</f>
        <v/>
      </c>
      <c r="M293" s="65" t="str">
        <f ca="1">IF(OR(L293="",L293="fill"),"",MATCH(IF(L293="enumeration",J293&amp;"|"&amp;G293,Design!L293),Elements!N:N,0))</f>
        <v/>
      </c>
      <c r="N293" s="65" t="str">
        <f t="shared" si="65"/>
        <v/>
      </c>
      <c r="O293" s="65" t="str">
        <f ca="1">"Elements!"&amp;INDEX(Elements!H:H,MATCH(Design!J293,Elements!J:J,0))</f>
        <v>Elements!K36:K44</v>
      </c>
      <c r="P293" s="65" t="str">
        <f t="shared" ca="1" si="71"/>
        <v>"</v>
      </c>
      <c r="Q293" s="75" t="str">
        <f t="shared" si="62"/>
        <v/>
      </c>
      <c r="R293" s="5" t="str">
        <f t="shared" si="63"/>
        <v/>
      </c>
      <c r="S293" s="5" t="str">
        <f t="shared" si="61"/>
        <v/>
      </c>
      <c r="T293" s="76" t="str">
        <f t="shared" si="64"/>
        <v/>
      </c>
      <c r="U293" s="5">
        <f t="shared" si="70"/>
        <v>0</v>
      </c>
      <c r="V293" s="5">
        <f t="shared" si="70"/>
        <v>0</v>
      </c>
      <c r="W293" s="77" t="str">
        <f t="shared" si="66"/>
        <v/>
      </c>
      <c r="X293" s="65" t="str">
        <f t="shared" si="67"/>
        <v/>
      </c>
      <c r="Y293" s="78" t="str">
        <f t="shared" si="68"/>
        <v/>
      </c>
      <c r="Z293" s="21"/>
      <c r="AA293" s="138"/>
      <c r="AB293" s="21"/>
    </row>
    <row r="294" spans="1:28" x14ac:dyDescent="0.25">
      <c r="A294" s="21"/>
      <c r="B294" s="18"/>
      <c r="C294" s="85" t="str">
        <f>IF(B294="","",INDEX(Elements!B:B,MATCH(Design!B294,Elements!A:A,0)))</f>
        <v/>
      </c>
      <c r="D294" s="13"/>
      <c r="E294" s="85" t="str">
        <f>IFERROR(IF(D294="","",INDEX(Elements!J:J,MATCH(Design!D294,Elements!I:I,0))),SUBSTITUTE(D294," ",""))</f>
        <v/>
      </c>
      <c r="F294" s="13"/>
      <c r="G294" s="84" t="str">
        <f>IFERROR(IF(F294="","",INDEX(Elements!L:L,MATCH(Design!F294,Elements!K:K,0))),F294)</f>
        <v/>
      </c>
      <c r="H294" s="12"/>
      <c r="I294" s="14"/>
      <c r="J294" s="63" t="str">
        <f t="shared" ca="1" si="69"/>
        <v>columnHeaders</v>
      </c>
      <c r="K294" s="63">
        <f t="shared" ca="1" si="60"/>
        <v>0</v>
      </c>
      <c r="L294" s="63" t="str">
        <f ca="1">IF(K294="fontFamily","fontFamily",IF(K294="fontSize","fontSize",IFERROR(INDEX(Elements!M:M,MATCH(Design!J294&amp;"|"&amp;Design!K294,Elements!N:N,0)),"")))</f>
        <v/>
      </c>
      <c r="M294" s="65" t="str">
        <f ca="1">IF(OR(L294="",L294="fill"),"",MATCH(IF(L294="enumeration",J294&amp;"|"&amp;G294,Design!L294),Elements!N:N,0))</f>
        <v/>
      </c>
      <c r="N294" s="65" t="str">
        <f t="shared" si="65"/>
        <v/>
      </c>
      <c r="O294" s="65" t="str">
        <f ca="1">"Elements!"&amp;INDEX(Elements!H:H,MATCH(Design!J294,Elements!J:J,0))</f>
        <v>Elements!K36:K44</v>
      </c>
      <c r="P294" s="65" t="str">
        <f t="shared" ca="1" si="71"/>
        <v>"</v>
      </c>
      <c r="Q294" s="75" t="str">
        <f t="shared" si="62"/>
        <v/>
      </c>
      <c r="R294" s="5" t="str">
        <f t="shared" si="63"/>
        <v/>
      </c>
      <c r="S294" s="5" t="str">
        <f t="shared" si="61"/>
        <v/>
      </c>
      <c r="T294" s="76" t="str">
        <f t="shared" si="64"/>
        <v/>
      </c>
      <c r="U294" s="5">
        <f t="shared" si="70"/>
        <v>0</v>
      </c>
      <c r="V294" s="5">
        <f t="shared" si="70"/>
        <v>0</v>
      </c>
      <c r="W294" s="77" t="str">
        <f t="shared" si="66"/>
        <v/>
      </c>
      <c r="X294" s="65" t="str">
        <f t="shared" si="67"/>
        <v/>
      </c>
      <c r="Y294" s="78" t="str">
        <f t="shared" si="68"/>
        <v/>
      </c>
      <c r="Z294" s="21"/>
      <c r="AA294" s="138"/>
      <c r="AB294" s="21"/>
    </row>
    <row r="295" spans="1:28" x14ac:dyDescent="0.25">
      <c r="A295" s="21"/>
      <c r="B295" s="18"/>
      <c r="C295" s="85" t="str">
        <f>IF(B295="","",INDEX(Elements!B:B,MATCH(Design!B295,Elements!A:A,0)))</f>
        <v/>
      </c>
      <c r="D295" s="13"/>
      <c r="E295" s="85" t="str">
        <f>IFERROR(IF(D295="","",INDEX(Elements!J:J,MATCH(Design!D295,Elements!I:I,0))),SUBSTITUTE(D295," ",""))</f>
        <v/>
      </c>
      <c r="F295" s="13"/>
      <c r="G295" s="84" t="str">
        <f>IFERROR(IF(F295="","",INDEX(Elements!L:L,MATCH(Design!F295,Elements!K:K,0))),F295)</f>
        <v/>
      </c>
      <c r="H295" s="12"/>
      <c r="I295" s="14"/>
      <c r="J295" s="63" t="str">
        <f t="shared" ca="1" si="69"/>
        <v>columnHeaders</v>
      </c>
      <c r="K295" s="63">
        <f t="shared" ca="1" si="60"/>
        <v>0</v>
      </c>
      <c r="L295" s="63" t="str">
        <f ca="1">IF(K295="fontFamily","fontFamily",IF(K295="fontSize","fontSize",IFERROR(INDEX(Elements!M:M,MATCH(Design!J295&amp;"|"&amp;Design!K295,Elements!N:N,0)),"")))</f>
        <v/>
      </c>
      <c r="M295" s="65" t="str">
        <f ca="1">IF(OR(L295="",L295="fill"),"",MATCH(IF(L295="enumeration",J295&amp;"|"&amp;G295,Design!L295),Elements!N:N,0))</f>
        <v/>
      </c>
      <c r="N295" s="65" t="str">
        <f t="shared" si="65"/>
        <v/>
      </c>
      <c r="O295" s="65" t="str">
        <f ca="1">"Elements!"&amp;INDEX(Elements!H:H,MATCH(Design!J295,Elements!J:J,0))</f>
        <v>Elements!K36:K44</v>
      </c>
      <c r="P295" s="65" t="str">
        <f t="shared" ca="1" si="71"/>
        <v>"</v>
      </c>
      <c r="Q295" s="75" t="str">
        <f t="shared" si="62"/>
        <v/>
      </c>
      <c r="R295" s="5" t="str">
        <f t="shared" si="63"/>
        <v/>
      </c>
      <c r="S295" s="5" t="str">
        <f t="shared" si="61"/>
        <v/>
      </c>
      <c r="T295" s="76" t="str">
        <f t="shared" si="64"/>
        <v/>
      </c>
      <c r="U295" s="5">
        <f t="shared" si="70"/>
        <v>0</v>
      </c>
      <c r="V295" s="5">
        <f t="shared" si="70"/>
        <v>0</v>
      </c>
      <c r="W295" s="77" t="str">
        <f t="shared" si="66"/>
        <v/>
      </c>
      <c r="X295" s="65" t="str">
        <f t="shared" si="67"/>
        <v/>
      </c>
      <c r="Y295" s="78" t="str">
        <f t="shared" si="68"/>
        <v/>
      </c>
      <c r="Z295" s="21"/>
      <c r="AA295" s="138"/>
      <c r="AB295" s="21"/>
    </row>
    <row r="296" spans="1:28" x14ac:dyDescent="0.25">
      <c r="A296" s="21"/>
      <c r="B296" s="18"/>
      <c r="C296" s="85" t="str">
        <f>IF(B296="","",INDEX(Elements!B:B,MATCH(Design!B296,Elements!A:A,0)))</f>
        <v/>
      </c>
      <c r="D296" s="13"/>
      <c r="E296" s="85" t="str">
        <f>IFERROR(IF(D296="","",INDEX(Elements!J:J,MATCH(Design!D296,Elements!I:I,0))),SUBSTITUTE(D296," ",""))</f>
        <v/>
      </c>
      <c r="F296" s="13"/>
      <c r="G296" s="84" t="str">
        <f>IFERROR(IF(F296="","",INDEX(Elements!L:L,MATCH(Design!F296,Elements!K:K,0))),F296)</f>
        <v/>
      </c>
      <c r="H296" s="12"/>
      <c r="I296" s="14"/>
      <c r="J296" s="63" t="str">
        <f t="shared" ca="1" si="69"/>
        <v>columnHeaders</v>
      </c>
      <c r="K296" s="63">
        <f t="shared" ca="1" si="60"/>
        <v>0</v>
      </c>
      <c r="L296" s="63" t="str">
        <f ca="1">IF(K296="fontFamily","fontFamily",IF(K296="fontSize","fontSize",IFERROR(INDEX(Elements!M:M,MATCH(Design!J296&amp;"|"&amp;Design!K296,Elements!N:N,0)),"")))</f>
        <v/>
      </c>
      <c r="M296" s="65" t="str">
        <f ca="1">IF(OR(L296="",L296="fill"),"",MATCH(IF(L296="enumeration",J296&amp;"|"&amp;G296,Design!L296),Elements!N:N,0))</f>
        <v/>
      </c>
      <c r="N296" s="65" t="str">
        <f t="shared" si="65"/>
        <v/>
      </c>
      <c r="O296" s="65" t="str">
        <f ca="1">"Elements!"&amp;INDEX(Elements!H:H,MATCH(Design!J296,Elements!J:J,0))</f>
        <v>Elements!K36:K44</v>
      </c>
      <c r="P296" s="65" t="str">
        <f t="shared" ca="1" si="71"/>
        <v>"</v>
      </c>
      <c r="Q296" s="75" t="str">
        <f t="shared" si="62"/>
        <v/>
      </c>
      <c r="R296" s="5" t="str">
        <f t="shared" si="63"/>
        <v/>
      </c>
      <c r="S296" s="5" t="str">
        <f t="shared" si="61"/>
        <v/>
      </c>
      <c r="T296" s="76" t="str">
        <f t="shared" si="64"/>
        <v/>
      </c>
      <c r="U296" s="5">
        <f t="shared" si="70"/>
        <v>0</v>
      </c>
      <c r="V296" s="5">
        <f t="shared" si="70"/>
        <v>0</v>
      </c>
      <c r="W296" s="77" t="str">
        <f t="shared" si="66"/>
        <v/>
      </c>
      <c r="X296" s="65" t="str">
        <f t="shared" si="67"/>
        <v/>
      </c>
      <c r="Y296" s="78" t="str">
        <f t="shared" si="68"/>
        <v/>
      </c>
      <c r="Z296" s="21"/>
      <c r="AA296" s="138"/>
      <c r="AB296" s="21"/>
    </row>
    <row r="297" spans="1:28" x14ac:dyDescent="0.25">
      <c r="A297" s="21"/>
      <c r="B297" s="18"/>
      <c r="C297" s="85" t="str">
        <f>IF(B297="","",INDEX(Elements!B:B,MATCH(Design!B297,Elements!A:A,0)))</f>
        <v/>
      </c>
      <c r="D297" s="13"/>
      <c r="E297" s="85" t="str">
        <f>IFERROR(IF(D297="","",INDEX(Elements!J:J,MATCH(Design!D297,Elements!I:I,0))),SUBSTITUTE(D297," ",""))</f>
        <v/>
      </c>
      <c r="F297" s="13"/>
      <c r="G297" s="84" t="str">
        <f>IFERROR(IF(F297="","",INDEX(Elements!L:L,MATCH(Design!F297,Elements!K:K,0))),F297)</f>
        <v/>
      </c>
      <c r="H297" s="12"/>
      <c r="I297" s="14"/>
      <c r="J297" s="63" t="str">
        <f t="shared" ca="1" si="69"/>
        <v>columnHeaders</v>
      </c>
      <c r="K297" s="63">
        <f t="shared" ca="1" si="60"/>
        <v>0</v>
      </c>
      <c r="L297" s="63" t="str">
        <f ca="1">IF(K297="fontFamily","fontFamily",IF(K297="fontSize","fontSize",IFERROR(INDEX(Elements!M:M,MATCH(Design!J297&amp;"|"&amp;Design!K297,Elements!N:N,0)),"")))</f>
        <v/>
      </c>
      <c r="M297" s="65" t="str">
        <f ca="1">IF(OR(L297="",L297="fill"),"",MATCH(IF(L297="enumeration",J297&amp;"|"&amp;G297,Design!L297),Elements!N:N,0))</f>
        <v/>
      </c>
      <c r="N297" s="65" t="str">
        <f t="shared" si="65"/>
        <v/>
      </c>
      <c r="O297" s="65" t="str">
        <f ca="1">"Elements!"&amp;INDEX(Elements!H:H,MATCH(Design!J297,Elements!J:J,0))</f>
        <v>Elements!K36:K44</v>
      </c>
      <c r="P297" s="65" t="str">
        <f t="shared" ca="1" si="71"/>
        <v>"</v>
      </c>
      <c r="Q297" s="75" t="str">
        <f t="shared" si="62"/>
        <v/>
      </c>
      <c r="R297" s="5" t="str">
        <f t="shared" si="63"/>
        <v/>
      </c>
      <c r="S297" s="5" t="str">
        <f t="shared" si="61"/>
        <v/>
      </c>
      <c r="T297" s="76" t="str">
        <f t="shared" si="64"/>
        <v/>
      </c>
      <c r="U297" s="5">
        <f t="shared" si="70"/>
        <v>0</v>
      </c>
      <c r="V297" s="5">
        <f t="shared" si="70"/>
        <v>0</v>
      </c>
      <c r="W297" s="77" t="str">
        <f t="shared" si="66"/>
        <v/>
      </c>
      <c r="X297" s="65" t="str">
        <f t="shared" si="67"/>
        <v/>
      </c>
      <c r="Y297" s="78" t="str">
        <f t="shared" si="68"/>
        <v/>
      </c>
      <c r="Z297" s="21"/>
      <c r="AA297" s="138"/>
      <c r="AB297" s="21"/>
    </row>
    <row r="298" spans="1:28" x14ac:dyDescent="0.25">
      <c r="A298" s="21"/>
      <c r="B298" s="18"/>
      <c r="C298" s="85" t="str">
        <f>IF(B298="","",INDEX(Elements!B:B,MATCH(Design!B298,Elements!A:A,0)))</f>
        <v/>
      </c>
      <c r="D298" s="13"/>
      <c r="E298" s="85" t="str">
        <f>IFERROR(IF(D298="","",INDEX(Elements!J:J,MATCH(Design!D298,Elements!I:I,0))),SUBSTITUTE(D298," ",""))</f>
        <v/>
      </c>
      <c r="F298" s="13"/>
      <c r="G298" s="84" t="str">
        <f>IFERROR(IF(F298="","",INDEX(Elements!L:L,MATCH(Design!F298,Elements!K:K,0))),F298)</f>
        <v/>
      </c>
      <c r="H298" s="12"/>
      <c r="I298" s="14"/>
      <c r="J298" s="63" t="str">
        <f t="shared" ca="1" si="69"/>
        <v>columnHeaders</v>
      </c>
      <c r="K298" s="63">
        <f t="shared" ca="1" si="60"/>
        <v>0</v>
      </c>
      <c r="L298" s="63" t="str">
        <f ca="1">IF(K298="fontFamily","fontFamily",IF(K298="fontSize","fontSize",IFERROR(INDEX(Elements!M:M,MATCH(Design!J298&amp;"|"&amp;Design!K298,Elements!N:N,0)),"")))</f>
        <v/>
      </c>
      <c r="M298" s="65" t="str">
        <f ca="1">IF(OR(L298="",L298="fill"),"",MATCH(IF(L298="enumeration",J298&amp;"|"&amp;G298,Design!L298),Elements!N:N,0))</f>
        <v/>
      </c>
      <c r="N298" s="65" t="str">
        <f t="shared" si="65"/>
        <v/>
      </c>
      <c r="O298" s="65" t="str">
        <f ca="1">"Elements!"&amp;INDEX(Elements!H:H,MATCH(Design!J298,Elements!J:J,0))</f>
        <v>Elements!K36:K44</v>
      </c>
      <c r="P298" s="65" t="str">
        <f t="shared" ca="1" si="71"/>
        <v>"</v>
      </c>
      <c r="Q298" s="75" t="str">
        <f t="shared" si="62"/>
        <v/>
      </c>
      <c r="R298" s="5" t="str">
        <f t="shared" si="63"/>
        <v/>
      </c>
      <c r="S298" s="5" t="str">
        <f t="shared" si="61"/>
        <v/>
      </c>
      <c r="T298" s="76" t="str">
        <f t="shared" si="64"/>
        <v/>
      </c>
      <c r="U298" s="5">
        <f t="shared" si="70"/>
        <v>0</v>
      </c>
      <c r="V298" s="5">
        <f t="shared" si="70"/>
        <v>0</v>
      </c>
      <c r="W298" s="77" t="str">
        <f t="shared" si="66"/>
        <v/>
      </c>
      <c r="X298" s="65" t="str">
        <f t="shared" si="67"/>
        <v/>
      </c>
      <c r="Y298" s="78" t="str">
        <f t="shared" si="68"/>
        <v/>
      </c>
      <c r="Z298" s="21"/>
      <c r="AA298" s="138"/>
      <c r="AB298" s="21"/>
    </row>
    <row r="299" spans="1:28" x14ac:dyDescent="0.25">
      <c r="A299" s="21"/>
      <c r="B299" s="18"/>
      <c r="C299" s="85" t="str">
        <f>IF(B299="","",INDEX(Elements!B:B,MATCH(Design!B299,Elements!A:A,0)))</f>
        <v/>
      </c>
      <c r="D299" s="13"/>
      <c r="E299" s="85" t="str">
        <f>IFERROR(IF(D299="","",INDEX(Elements!J:J,MATCH(Design!D299,Elements!I:I,0))),SUBSTITUTE(D299," ",""))</f>
        <v/>
      </c>
      <c r="F299" s="13"/>
      <c r="G299" s="84" t="str">
        <f>IFERROR(IF(F299="","",INDEX(Elements!L:L,MATCH(Design!F299,Elements!K:K,0))),F299)</f>
        <v/>
      </c>
      <c r="H299" s="12"/>
      <c r="I299" s="14"/>
      <c r="J299" s="63" t="str">
        <f t="shared" ca="1" si="69"/>
        <v>columnHeaders</v>
      </c>
      <c r="K299" s="63">
        <f t="shared" ca="1" si="60"/>
        <v>0</v>
      </c>
      <c r="L299" s="63" t="str">
        <f ca="1">IF(K299="fontFamily","fontFamily",IF(K299="fontSize","fontSize",IFERROR(INDEX(Elements!M:M,MATCH(Design!J299&amp;"|"&amp;Design!K299,Elements!N:N,0)),"")))</f>
        <v/>
      </c>
      <c r="M299" s="65" t="str">
        <f ca="1">IF(OR(L299="",L299="fill"),"",MATCH(IF(L299="enumeration",J299&amp;"|"&amp;G299,Design!L299),Elements!N:N,0))</f>
        <v/>
      </c>
      <c r="N299" s="65" t="str">
        <f t="shared" si="65"/>
        <v/>
      </c>
      <c r="O299" s="65" t="str">
        <f ca="1">"Elements!"&amp;INDEX(Elements!H:H,MATCH(Design!J299,Elements!J:J,0))</f>
        <v>Elements!K36:K44</v>
      </c>
      <c r="P299" s="65" t="str">
        <f t="shared" ca="1" si="71"/>
        <v>"</v>
      </c>
      <c r="Q299" s="75" t="str">
        <f t="shared" si="62"/>
        <v/>
      </c>
      <c r="R299" s="5" t="str">
        <f t="shared" si="63"/>
        <v/>
      </c>
      <c r="S299" s="5" t="str">
        <f t="shared" si="61"/>
        <v/>
      </c>
      <c r="T299" s="76" t="str">
        <f t="shared" si="64"/>
        <v/>
      </c>
      <c r="U299" s="5">
        <f t="shared" si="70"/>
        <v>0</v>
      </c>
      <c r="V299" s="5">
        <f t="shared" si="70"/>
        <v>0</v>
      </c>
      <c r="W299" s="77" t="str">
        <f t="shared" si="66"/>
        <v/>
      </c>
      <c r="X299" s="65" t="str">
        <f t="shared" si="67"/>
        <v/>
      </c>
      <c r="Y299" s="78" t="str">
        <f t="shared" si="68"/>
        <v/>
      </c>
      <c r="Z299" s="21"/>
      <c r="AA299" s="138"/>
      <c r="AB299" s="21"/>
    </row>
    <row r="300" spans="1:28" x14ac:dyDescent="0.25">
      <c r="A300" s="21"/>
      <c r="B300" s="18"/>
      <c r="C300" s="85" t="str">
        <f>IF(B300="","",INDEX(Elements!B:B,MATCH(Design!B300,Elements!A:A,0)))</f>
        <v/>
      </c>
      <c r="D300" s="13"/>
      <c r="E300" s="85" t="str">
        <f>IFERROR(IF(D300="","",INDEX(Elements!J:J,MATCH(Design!D300,Elements!I:I,0))),SUBSTITUTE(D300," ",""))</f>
        <v/>
      </c>
      <c r="F300" s="13"/>
      <c r="G300" s="84" t="str">
        <f>IFERROR(IF(F300="","",INDEX(Elements!L:L,MATCH(Design!F300,Elements!K:K,0))),F300)</f>
        <v/>
      </c>
      <c r="H300" s="12"/>
      <c r="I300" s="14"/>
      <c r="J300" s="63" t="str">
        <f t="shared" ca="1" si="69"/>
        <v>columnHeaders</v>
      </c>
      <c r="K300" s="63">
        <f t="shared" ca="1" si="60"/>
        <v>0</v>
      </c>
      <c r="L300" s="63" t="str">
        <f ca="1">IF(K300="fontFamily","fontFamily",IF(K300="fontSize","fontSize",IFERROR(INDEX(Elements!M:M,MATCH(Design!J300&amp;"|"&amp;Design!K300,Elements!N:N,0)),"")))</f>
        <v/>
      </c>
      <c r="M300" s="65" t="str">
        <f ca="1">IF(OR(L300="",L300="fill"),"",MATCH(IF(L300="enumeration",J300&amp;"|"&amp;G300,Design!L300),Elements!N:N,0))</f>
        <v/>
      </c>
      <c r="N300" s="65" t="str">
        <f t="shared" si="65"/>
        <v/>
      </c>
      <c r="O300" s="65" t="str">
        <f ca="1">"Elements!"&amp;INDEX(Elements!H:H,MATCH(Design!J300,Elements!J:J,0))</f>
        <v>Elements!K36:K44</v>
      </c>
      <c r="P300" s="65" t="str">
        <f t="shared" ca="1" si="71"/>
        <v>"</v>
      </c>
      <c r="Q300" s="75" t="str">
        <f t="shared" si="62"/>
        <v/>
      </c>
      <c r="R300" s="5" t="str">
        <f t="shared" si="63"/>
        <v/>
      </c>
      <c r="S300" s="5" t="str">
        <f t="shared" si="61"/>
        <v/>
      </c>
      <c r="T300" s="76" t="str">
        <f t="shared" si="64"/>
        <v/>
      </c>
      <c r="U300" s="5">
        <f t="shared" si="70"/>
        <v>0</v>
      </c>
      <c r="V300" s="5">
        <f t="shared" si="70"/>
        <v>0</v>
      </c>
      <c r="W300" s="77" t="str">
        <f t="shared" si="66"/>
        <v/>
      </c>
      <c r="X300" s="65" t="str">
        <f t="shared" si="67"/>
        <v/>
      </c>
      <c r="Y300" s="78" t="str">
        <f t="shared" si="68"/>
        <v/>
      </c>
      <c r="Z300" s="21"/>
      <c r="AA300" s="138"/>
      <c r="AB300" s="21"/>
    </row>
    <row r="301" spans="1:28" x14ac:dyDescent="0.25">
      <c r="A301" s="21"/>
      <c r="B301" s="18"/>
      <c r="C301" s="85" t="str">
        <f>IF(B301="","",INDEX(Elements!B:B,MATCH(Design!B301,Elements!A:A,0)))</f>
        <v/>
      </c>
      <c r="D301" s="13"/>
      <c r="E301" s="85" t="str">
        <f>IFERROR(IF(D301="","",INDEX(Elements!J:J,MATCH(Design!D301,Elements!I:I,0))),SUBSTITUTE(D301," ",""))</f>
        <v/>
      </c>
      <c r="F301" s="13"/>
      <c r="G301" s="84" t="str">
        <f>IFERROR(IF(F301="","",INDEX(Elements!L:L,MATCH(Design!F301,Elements!K:K,0))),F301)</f>
        <v/>
      </c>
      <c r="H301" s="12"/>
      <c r="I301" s="14"/>
      <c r="J301" s="63" t="str">
        <f t="shared" ca="1" si="69"/>
        <v>columnHeaders</v>
      </c>
      <c r="K301" s="63">
        <f t="shared" ca="1" si="60"/>
        <v>0</v>
      </c>
      <c r="L301" s="63" t="str">
        <f ca="1">IF(K301="fontFamily","fontFamily",IF(K301="fontSize","fontSize",IFERROR(INDEX(Elements!M:M,MATCH(Design!J301&amp;"|"&amp;Design!K301,Elements!N:N,0)),"")))</f>
        <v/>
      </c>
      <c r="M301" s="65" t="str">
        <f ca="1">IF(OR(L301="",L301="fill"),"",MATCH(IF(L301="enumeration",J301&amp;"|"&amp;G301,Design!L301),Elements!N:N,0))</f>
        <v/>
      </c>
      <c r="N301" s="65" t="str">
        <f t="shared" si="65"/>
        <v/>
      </c>
      <c r="O301" s="65" t="str">
        <f ca="1">"Elements!"&amp;INDEX(Elements!H:H,MATCH(Design!J301,Elements!J:J,0))</f>
        <v>Elements!K36:K44</v>
      </c>
      <c r="P301" s="65" t="str">
        <f t="shared" ca="1" si="71"/>
        <v>"</v>
      </c>
      <c r="Q301" s="75" t="str">
        <f t="shared" si="62"/>
        <v/>
      </c>
      <c r="R301" s="5" t="str">
        <f t="shared" si="63"/>
        <v/>
      </c>
      <c r="S301" s="5" t="str">
        <f t="shared" si="61"/>
        <v/>
      </c>
      <c r="T301" s="76" t="str">
        <f t="shared" si="64"/>
        <v/>
      </c>
      <c r="U301" s="5">
        <f t="shared" si="70"/>
        <v>0</v>
      </c>
      <c r="V301" s="5">
        <f t="shared" si="70"/>
        <v>0</v>
      </c>
      <c r="W301" s="77" t="str">
        <f t="shared" si="66"/>
        <v/>
      </c>
      <c r="X301" s="65" t="str">
        <f t="shared" si="67"/>
        <v/>
      </c>
      <c r="Y301" s="78" t="str">
        <f t="shared" si="68"/>
        <v/>
      </c>
      <c r="Z301" s="21"/>
      <c r="AA301" s="138"/>
      <c r="AB301" s="21"/>
    </row>
    <row r="302" spans="1:28" x14ac:dyDescent="0.25">
      <c r="A302" s="21"/>
      <c r="B302" s="18"/>
      <c r="C302" s="85" t="str">
        <f>IF(B302="","",INDEX(Elements!B:B,MATCH(Design!B302,Elements!A:A,0)))</f>
        <v/>
      </c>
      <c r="D302" s="13"/>
      <c r="E302" s="85" t="str">
        <f>IFERROR(IF(D302="","",INDEX(Elements!J:J,MATCH(Design!D302,Elements!I:I,0))),SUBSTITUTE(D302," ",""))</f>
        <v/>
      </c>
      <c r="F302" s="13"/>
      <c r="G302" s="84" t="str">
        <f>IFERROR(IF(F302="","",INDEX(Elements!L:L,MATCH(Design!F302,Elements!K:K,0))),F302)</f>
        <v/>
      </c>
      <c r="H302" s="12"/>
      <c r="I302" s="14"/>
      <c r="J302" s="63" t="str">
        <f t="shared" ca="1" si="69"/>
        <v>columnHeaders</v>
      </c>
      <c r="K302" s="63">
        <f t="shared" ca="1" si="60"/>
        <v>0</v>
      </c>
      <c r="L302" s="63" t="str">
        <f ca="1">IF(K302="fontFamily","fontFamily",IF(K302="fontSize","fontSize",IFERROR(INDEX(Elements!M:M,MATCH(Design!J302&amp;"|"&amp;Design!K302,Elements!N:N,0)),"")))</f>
        <v/>
      </c>
      <c r="M302" s="65" t="str">
        <f ca="1">IF(OR(L302="",L302="fill"),"",MATCH(IF(L302="enumeration",J302&amp;"|"&amp;G302,Design!L302),Elements!N:N,0))</f>
        <v/>
      </c>
      <c r="N302" s="65" t="str">
        <f t="shared" si="65"/>
        <v/>
      </c>
      <c r="O302" s="65" t="str">
        <f ca="1">"Elements!"&amp;INDEX(Elements!H:H,MATCH(Design!J302,Elements!J:J,0))</f>
        <v>Elements!K36:K44</v>
      </c>
      <c r="P302" s="65" t="str">
        <f t="shared" ca="1" si="71"/>
        <v>"</v>
      </c>
      <c r="Q302" s="75" t="str">
        <f t="shared" si="62"/>
        <v/>
      </c>
      <c r="R302" s="5" t="str">
        <f t="shared" si="63"/>
        <v/>
      </c>
      <c r="S302" s="5" t="str">
        <f t="shared" si="61"/>
        <v/>
      </c>
      <c r="T302" s="76" t="str">
        <f t="shared" si="64"/>
        <v/>
      </c>
      <c r="U302" s="5">
        <f t="shared" si="70"/>
        <v>0</v>
      </c>
      <c r="V302" s="5">
        <f t="shared" si="70"/>
        <v>0</v>
      </c>
      <c r="W302" s="77" t="str">
        <f t="shared" si="66"/>
        <v/>
      </c>
      <c r="X302" s="65" t="str">
        <f t="shared" si="67"/>
        <v/>
      </c>
      <c r="Y302" s="78" t="str">
        <f t="shared" si="68"/>
        <v/>
      </c>
      <c r="Z302" s="21"/>
      <c r="AA302" s="138"/>
      <c r="AB302" s="21"/>
    </row>
    <row r="303" spans="1:28" x14ac:dyDescent="0.25">
      <c r="A303" s="21"/>
      <c r="B303" s="18"/>
      <c r="C303" s="85" t="str">
        <f>IF(B303="","",INDEX(Elements!B:B,MATCH(Design!B303,Elements!A:A,0)))</f>
        <v/>
      </c>
      <c r="D303" s="13"/>
      <c r="E303" s="85" t="str">
        <f>IFERROR(IF(D303="","",INDEX(Elements!J:J,MATCH(Design!D303,Elements!I:I,0))),SUBSTITUTE(D303," ",""))</f>
        <v/>
      </c>
      <c r="F303" s="13"/>
      <c r="G303" s="84" t="str">
        <f>IFERROR(IF(F303="","",INDEX(Elements!L:L,MATCH(Design!F303,Elements!K:K,0))),F303)</f>
        <v/>
      </c>
      <c r="H303" s="12"/>
      <c r="I303" s="14"/>
      <c r="J303" s="63" t="str">
        <f t="shared" ca="1" si="69"/>
        <v>columnHeaders</v>
      </c>
      <c r="K303" s="63">
        <f t="shared" ca="1" si="60"/>
        <v>0</v>
      </c>
      <c r="L303" s="63" t="str">
        <f ca="1">IF(K303="fontFamily","fontFamily",IF(K303="fontSize","fontSize",IFERROR(INDEX(Elements!M:M,MATCH(Design!J303&amp;"|"&amp;Design!K303,Elements!N:N,0)),"")))</f>
        <v/>
      </c>
      <c r="M303" s="65" t="str">
        <f ca="1">IF(OR(L303="",L303="fill"),"",MATCH(IF(L303="enumeration",J303&amp;"|"&amp;G303,Design!L303),Elements!N:N,0))</f>
        <v/>
      </c>
      <c r="N303" s="65" t="str">
        <f t="shared" si="65"/>
        <v/>
      </c>
      <c r="O303" s="65" t="str">
        <f ca="1">"Elements!"&amp;INDEX(Elements!H:H,MATCH(Design!J303,Elements!J:J,0))</f>
        <v>Elements!K36:K44</v>
      </c>
      <c r="P303" s="65" t="str">
        <f t="shared" ca="1" si="71"/>
        <v>"</v>
      </c>
      <c r="Q303" s="75" t="str">
        <f t="shared" si="62"/>
        <v/>
      </c>
      <c r="R303" s="5" t="str">
        <f t="shared" si="63"/>
        <v/>
      </c>
      <c r="S303" s="5" t="str">
        <f t="shared" si="61"/>
        <v/>
      </c>
      <c r="T303" s="76" t="str">
        <f t="shared" si="64"/>
        <v/>
      </c>
      <c r="U303" s="5">
        <f t="shared" si="70"/>
        <v>0</v>
      </c>
      <c r="V303" s="5">
        <f t="shared" si="70"/>
        <v>0</v>
      </c>
      <c r="W303" s="77" t="str">
        <f t="shared" si="66"/>
        <v/>
      </c>
      <c r="X303" s="65" t="str">
        <f t="shared" si="67"/>
        <v/>
      </c>
      <c r="Y303" s="78" t="str">
        <f t="shared" si="68"/>
        <v/>
      </c>
      <c r="Z303" s="21"/>
      <c r="AA303" s="138"/>
      <c r="AB303" s="21"/>
    </row>
    <row r="304" spans="1:28" x14ac:dyDescent="0.25">
      <c r="A304" s="21"/>
      <c r="B304" s="18"/>
      <c r="C304" s="85" t="str">
        <f>IF(B304="","",INDEX(Elements!B:B,MATCH(Design!B304,Elements!A:A,0)))</f>
        <v/>
      </c>
      <c r="D304" s="13"/>
      <c r="E304" s="85" t="str">
        <f>IFERROR(IF(D304="","",INDEX(Elements!J:J,MATCH(Design!D304,Elements!I:I,0))),SUBSTITUTE(D304," ",""))</f>
        <v/>
      </c>
      <c r="F304" s="13"/>
      <c r="G304" s="84" t="str">
        <f>IFERROR(IF(F304="","",INDEX(Elements!L:L,MATCH(Design!F304,Elements!K:K,0))),F304)</f>
        <v/>
      </c>
      <c r="H304" s="12"/>
      <c r="I304" s="14"/>
      <c r="J304" s="63" t="str">
        <f t="shared" ca="1" si="69"/>
        <v>columnHeaders</v>
      </c>
      <c r="K304" s="63">
        <f t="shared" ca="1" si="60"/>
        <v>0</v>
      </c>
      <c r="L304" s="63" t="str">
        <f ca="1">IF(K304="fontFamily","fontFamily",IF(K304="fontSize","fontSize",IFERROR(INDEX(Elements!M:M,MATCH(Design!J304&amp;"|"&amp;Design!K304,Elements!N:N,0)),"")))</f>
        <v/>
      </c>
      <c r="M304" s="65" t="str">
        <f ca="1">IF(OR(L304="",L304="fill"),"",MATCH(IF(L304="enumeration",J304&amp;"|"&amp;G304,Design!L304),Elements!N:N,0))</f>
        <v/>
      </c>
      <c r="N304" s="65" t="str">
        <f t="shared" si="65"/>
        <v/>
      </c>
      <c r="O304" s="65" t="str">
        <f ca="1">"Elements!"&amp;INDEX(Elements!H:H,MATCH(Design!J304,Elements!J:J,0))</f>
        <v>Elements!K36:K44</v>
      </c>
      <c r="P304" s="65" t="str">
        <f t="shared" ca="1" si="71"/>
        <v>"</v>
      </c>
      <c r="Q304" s="75" t="str">
        <f t="shared" si="62"/>
        <v/>
      </c>
      <c r="R304" s="5" t="str">
        <f t="shared" si="63"/>
        <v/>
      </c>
      <c r="S304" s="5" t="str">
        <f t="shared" si="61"/>
        <v/>
      </c>
      <c r="T304" s="76" t="str">
        <f t="shared" si="64"/>
        <v/>
      </c>
      <c r="U304" s="5">
        <f t="shared" si="70"/>
        <v>0</v>
      </c>
      <c r="V304" s="5">
        <f t="shared" si="70"/>
        <v>0</v>
      </c>
      <c r="W304" s="77" t="str">
        <f t="shared" si="66"/>
        <v/>
      </c>
      <c r="X304" s="65" t="str">
        <f t="shared" si="67"/>
        <v/>
      </c>
      <c r="Y304" s="78" t="str">
        <f t="shared" si="68"/>
        <v/>
      </c>
      <c r="Z304" s="21"/>
      <c r="AA304" s="138"/>
      <c r="AB304" s="21"/>
    </row>
    <row r="305" spans="1:28" x14ac:dyDescent="0.25">
      <c r="A305" s="21"/>
      <c r="B305" s="18"/>
      <c r="C305" s="85" t="str">
        <f>IF(B305="","",INDEX(Elements!B:B,MATCH(Design!B305,Elements!A:A,0)))</f>
        <v/>
      </c>
      <c r="D305" s="13"/>
      <c r="E305" s="85" t="str">
        <f>IFERROR(IF(D305="","",INDEX(Elements!J:J,MATCH(Design!D305,Elements!I:I,0))),SUBSTITUTE(D305," ",""))</f>
        <v/>
      </c>
      <c r="F305" s="13"/>
      <c r="G305" s="84" t="str">
        <f>IFERROR(IF(F305="","",INDEX(Elements!L:L,MATCH(Design!F305,Elements!K:K,0))),F305)</f>
        <v/>
      </c>
      <c r="H305" s="12"/>
      <c r="I305" s="14"/>
      <c r="J305" s="63" t="str">
        <f t="shared" ca="1" si="69"/>
        <v>columnHeaders</v>
      </c>
      <c r="K305" s="63">
        <f t="shared" ca="1" si="60"/>
        <v>0</v>
      </c>
      <c r="L305" s="63" t="str">
        <f ca="1">IF(K305="fontFamily","fontFamily",IF(K305="fontSize","fontSize",IFERROR(INDEX(Elements!M:M,MATCH(Design!J305&amp;"|"&amp;Design!K305,Elements!N:N,0)),"")))</f>
        <v/>
      </c>
      <c r="M305" s="65" t="str">
        <f ca="1">IF(OR(L305="",L305="fill"),"",MATCH(IF(L305="enumeration",J305&amp;"|"&amp;G305,Design!L305),Elements!N:N,0))</f>
        <v/>
      </c>
      <c r="N305" s="65" t="str">
        <f t="shared" si="65"/>
        <v/>
      </c>
      <c r="O305" s="65" t="str">
        <f ca="1">"Elements!"&amp;INDEX(Elements!H:H,MATCH(Design!J305,Elements!J:J,0))</f>
        <v>Elements!K36:K44</v>
      </c>
      <c r="P305" s="65" t="str">
        <f t="shared" ca="1" si="71"/>
        <v>"</v>
      </c>
      <c r="Q305" s="75" t="str">
        <f t="shared" si="62"/>
        <v/>
      </c>
      <c r="R305" s="5" t="str">
        <f t="shared" si="63"/>
        <v/>
      </c>
      <c r="S305" s="5" t="str">
        <f t="shared" si="61"/>
        <v/>
      </c>
      <c r="T305" s="76" t="str">
        <f t="shared" si="64"/>
        <v/>
      </c>
      <c r="U305" s="5">
        <f t="shared" si="70"/>
        <v>0</v>
      </c>
      <c r="V305" s="5">
        <f t="shared" si="70"/>
        <v>0</v>
      </c>
      <c r="W305" s="77" t="str">
        <f t="shared" si="66"/>
        <v/>
      </c>
      <c r="X305" s="65" t="str">
        <f t="shared" si="67"/>
        <v/>
      </c>
      <c r="Y305" s="78" t="str">
        <f t="shared" si="68"/>
        <v/>
      </c>
      <c r="Z305" s="21"/>
      <c r="AA305" s="138"/>
      <c r="AB305" s="21"/>
    </row>
    <row r="306" spans="1:28" x14ac:dyDescent="0.25">
      <c r="A306" s="21"/>
      <c r="B306" s="18"/>
      <c r="C306" s="85" t="str">
        <f>IF(B306="","",INDEX(Elements!B:B,MATCH(Design!B306,Elements!A:A,0)))</f>
        <v/>
      </c>
      <c r="D306" s="13"/>
      <c r="E306" s="85" t="str">
        <f>IFERROR(IF(D306="","",INDEX(Elements!J:J,MATCH(Design!D306,Elements!I:I,0))),SUBSTITUTE(D306," ",""))</f>
        <v/>
      </c>
      <c r="F306" s="13"/>
      <c r="G306" s="84" t="str">
        <f>IFERROR(IF(F306="","",INDEX(Elements!L:L,MATCH(Design!F306,Elements!K:K,0))),F306)</f>
        <v/>
      </c>
      <c r="H306" s="12"/>
      <c r="I306" s="14"/>
      <c r="J306" s="63" t="str">
        <f t="shared" ca="1" si="69"/>
        <v>columnHeaders</v>
      </c>
      <c r="K306" s="63">
        <f t="shared" ca="1" si="60"/>
        <v>0</v>
      </c>
      <c r="L306" s="63" t="str">
        <f ca="1">IF(K306="fontFamily","fontFamily",IF(K306="fontSize","fontSize",IFERROR(INDEX(Elements!M:M,MATCH(Design!J306&amp;"|"&amp;Design!K306,Elements!N:N,0)),"")))</f>
        <v/>
      </c>
      <c r="M306" s="65" t="str">
        <f ca="1">IF(OR(L306="",L306="fill"),"",MATCH(IF(L306="enumeration",J306&amp;"|"&amp;G306,Design!L306),Elements!N:N,0))</f>
        <v/>
      </c>
      <c r="N306" s="65" t="str">
        <f t="shared" si="65"/>
        <v/>
      </c>
      <c r="O306" s="65" t="str">
        <f ca="1">"Elements!"&amp;INDEX(Elements!H:H,MATCH(Design!J306,Elements!J:J,0))</f>
        <v>Elements!K36:K44</v>
      </c>
      <c r="P306" s="65" t="str">
        <f t="shared" ca="1" si="71"/>
        <v>"</v>
      </c>
      <c r="Q306" s="75" t="str">
        <f t="shared" si="62"/>
        <v/>
      </c>
      <c r="R306" s="5" t="str">
        <f t="shared" si="63"/>
        <v/>
      </c>
      <c r="S306" s="5" t="str">
        <f t="shared" si="61"/>
        <v/>
      </c>
      <c r="T306" s="76" t="str">
        <f t="shared" si="64"/>
        <v/>
      </c>
      <c r="U306" s="5">
        <f t="shared" si="70"/>
        <v>0</v>
      </c>
      <c r="V306" s="5">
        <f t="shared" si="70"/>
        <v>0</v>
      </c>
      <c r="W306" s="77" t="str">
        <f t="shared" si="66"/>
        <v/>
      </c>
      <c r="X306" s="65" t="str">
        <f t="shared" si="67"/>
        <v/>
      </c>
      <c r="Y306" s="78" t="str">
        <f t="shared" si="68"/>
        <v/>
      </c>
      <c r="Z306" s="21"/>
      <c r="AA306" s="138"/>
      <c r="AB306" s="21"/>
    </row>
    <row r="307" spans="1:28" x14ac:dyDescent="0.25">
      <c r="A307" s="21"/>
      <c r="B307" s="18"/>
      <c r="C307" s="85" t="str">
        <f>IF(B307="","",INDEX(Elements!B:B,MATCH(Design!B307,Elements!A:A,0)))</f>
        <v/>
      </c>
      <c r="D307" s="13"/>
      <c r="E307" s="85" t="str">
        <f>IFERROR(IF(D307="","",INDEX(Elements!J:J,MATCH(Design!D307,Elements!I:I,0))),SUBSTITUTE(D307," ",""))</f>
        <v/>
      </c>
      <c r="F307" s="13"/>
      <c r="G307" s="84" t="str">
        <f>IFERROR(IF(F307="","",INDEX(Elements!L:L,MATCH(Design!F307,Elements!K:K,0))),F307)</f>
        <v/>
      </c>
      <c r="H307" s="12"/>
      <c r="I307" s="14"/>
      <c r="J307" s="63" t="str">
        <f t="shared" ca="1" si="69"/>
        <v>columnHeaders</v>
      </c>
      <c r="K307" s="63">
        <f t="shared" ca="1" si="60"/>
        <v>0</v>
      </c>
      <c r="L307" s="63" t="str">
        <f ca="1">IF(K307="fontFamily","fontFamily",IF(K307="fontSize","fontSize",IFERROR(INDEX(Elements!M:M,MATCH(Design!J307&amp;"|"&amp;Design!K307,Elements!N:N,0)),"")))</f>
        <v/>
      </c>
      <c r="M307" s="65" t="str">
        <f ca="1">IF(OR(L307="",L307="fill"),"",MATCH(IF(L307="enumeration",J307&amp;"|"&amp;G307,Design!L307),Elements!N:N,0))</f>
        <v/>
      </c>
      <c r="N307" s="65" t="str">
        <f t="shared" si="65"/>
        <v/>
      </c>
      <c r="O307" s="65" t="str">
        <f ca="1">"Elements!"&amp;INDEX(Elements!H:H,MATCH(Design!J307,Elements!J:J,0))</f>
        <v>Elements!K36:K44</v>
      </c>
      <c r="P307" s="65" t="str">
        <f t="shared" ca="1" si="71"/>
        <v>"</v>
      </c>
      <c r="Q307" s="75" t="str">
        <f t="shared" si="62"/>
        <v/>
      </c>
      <c r="R307" s="5" t="str">
        <f t="shared" si="63"/>
        <v/>
      </c>
      <c r="S307" s="5" t="str">
        <f t="shared" si="61"/>
        <v/>
      </c>
      <c r="T307" s="76" t="str">
        <f t="shared" si="64"/>
        <v/>
      </c>
      <c r="U307" s="5">
        <f t="shared" si="70"/>
        <v>0</v>
      </c>
      <c r="V307" s="5">
        <f t="shared" si="70"/>
        <v>0</v>
      </c>
      <c r="W307" s="77" t="str">
        <f t="shared" si="66"/>
        <v/>
      </c>
      <c r="X307" s="65" t="str">
        <f t="shared" si="67"/>
        <v/>
      </c>
      <c r="Y307" s="78" t="str">
        <f t="shared" si="68"/>
        <v/>
      </c>
      <c r="Z307" s="21"/>
      <c r="AA307" s="138"/>
      <c r="AB307" s="21"/>
    </row>
    <row r="308" spans="1:28" x14ac:dyDescent="0.25">
      <c r="A308" s="21"/>
      <c r="B308" s="18"/>
      <c r="C308" s="85" t="str">
        <f>IF(B308="","",INDEX(Elements!B:B,MATCH(Design!B308,Elements!A:A,0)))</f>
        <v/>
      </c>
      <c r="D308" s="13"/>
      <c r="E308" s="85" t="str">
        <f>IFERROR(IF(D308="","",INDEX(Elements!J:J,MATCH(Design!D308,Elements!I:I,0))),SUBSTITUTE(D308," ",""))</f>
        <v/>
      </c>
      <c r="F308" s="13"/>
      <c r="G308" s="84" t="str">
        <f>IFERROR(IF(F308="","",INDEX(Elements!L:L,MATCH(Design!F308,Elements!K:K,0))),F308)</f>
        <v/>
      </c>
      <c r="H308" s="12"/>
      <c r="I308" s="14"/>
      <c r="J308" s="63" t="str">
        <f t="shared" ca="1" si="69"/>
        <v>columnHeaders</v>
      </c>
      <c r="K308" s="63">
        <f t="shared" ca="1" si="60"/>
        <v>0</v>
      </c>
      <c r="L308" s="63" t="str">
        <f ca="1">IF(K308="fontFamily","fontFamily",IF(K308="fontSize","fontSize",IFERROR(INDEX(Elements!M:M,MATCH(Design!J308&amp;"|"&amp;Design!K308,Elements!N:N,0)),"")))</f>
        <v/>
      </c>
      <c r="M308" s="65" t="str">
        <f ca="1">IF(OR(L308="",L308="fill"),"",MATCH(IF(L308="enumeration",J308&amp;"|"&amp;G308,Design!L308),Elements!N:N,0))</f>
        <v/>
      </c>
      <c r="N308" s="65" t="str">
        <f t="shared" si="65"/>
        <v/>
      </c>
      <c r="O308" s="65" t="str">
        <f ca="1">"Elements!"&amp;INDEX(Elements!H:H,MATCH(Design!J308,Elements!J:J,0))</f>
        <v>Elements!K36:K44</v>
      </c>
      <c r="P308" s="65" t="str">
        <f t="shared" ca="1" si="71"/>
        <v>"</v>
      </c>
      <c r="Q308" s="75" t="str">
        <f t="shared" si="62"/>
        <v/>
      </c>
      <c r="R308" s="5" t="str">
        <f t="shared" si="63"/>
        <v/>
      </c>
      <c r="S308" s="5" t="str">
        <f t="shared" si="61"/>
        <v/>
      </c>
      <c r="T308" s="76" t="str">
        <f t="shared" si="64"/>
        <v/>
      </c>
      <c r="U308" s="5">
        <f t="shared" si="70"/>
        <v>0</v>
      </c>
      <c r="V308" s="5">
        <f t="shared" si="70"/>
        <v>0</v>
      </c>
      <c r="W308" s="77" t="str">
        <f t="shared" si="66"/>
        <v/>
      </c>
      <c r="X308" s="65" t="str">
        <f t="shared" si="67"/>
        <v/>
      </c>
      <c r="Y308" s="78" t="str">
        <f t="shared" si="68"/>
        <v/>
      </c>
      <c r="Z308" s="21"/>
      <c r="AA308" s="138"/>
      <c r="AB308" s="21"/>
    </row>
    <row r="309" spans="1:28" x14ac:dyDescent="0.25">
      <c r="A309" s="21"/>
      <c r="B309" s="18"/>
      <c r="C309" s="85" t="str">
        <f>IF(B309="","",INDEX(Elements!B:B,MATCH(Design!B309,Elements!A:A,0)))</f>
        <v/>
      </c>
      <c r="D309" s="13"/>
      <c r="E309" s="85" t="str">
        <f>IFERROR(IF(D309="","",INDEX(Elements!J:J,MATCH(Design!D309,Elements!I:I,0))),SUBSTITUTE(D309," ",""))</f>
        <v/>
      </c>
      <c r="F309" s="13"/>
      <c r="G309" s="84" t="str">
        <f>IFERROR(IF(F309="","",INDEX(Elements!L:L,MATCH(Design!F309,Elements!K:K,0))),F309)</f>
        <v/>
      </c>
      <c r="H309" s="12"/>
      <c r="I309" s="14"/>
      <c r="J309" s="63" t="str">
        <f t="shared" ca="1" si="69"/>
        <v>columnHeaders</v>
      </c>
      <c r="K309" s="63">
        <f t="shared" ca="1" si="60"/>
        <v>0</v>
      </c>
      <c r="L309" s="63" t="str">
        <f ca="1">IF(K309="fontFamily","fontFamily",IF(K309="fontSize","fontSize",IFERROR(INDEX(Elements!M:M,MATCH(Design!J309&amp;"|"&amp;Design!K309,Elements!N:N,0)),"")))</f>
        <v/>
      </c>
      <c r="M309" s="65" t="str">
        <f ca="1">IF(OR(L309="",L309="fill"),"",MATCH(IF(L309="enumeration",J309&amp;"|"&amp;G309,Design!L309),Elements!N:N,0))</f>
        <v/>
      </c>
      <c r="N309" s="65" t="str">
        <f t="shared" si="65"/>
        <v/>
      </c>
      <c r="O309" s="65" t="str">
        <f ca="1">"Elements!"&amp;INDEX(Elements!H:H,MATCH(Design!J309,Elements!J:J,0))</f>
        <v>Elements!K36:K44</v>
      </c>
      <c r="P309" s="65" t="str">
        <f t="shared" ca="1" si="71"/>
        <v>"</v>
      </c>
      <c r="Q309" s="75" t="str">
        <f t="shared" si="62"/>
        <v/>
      </c>
      <c r="R309" s="5" t="str">
        <f t="shared" si="63"/>
        <v/>
      </c>
      <c r="S309" s="5" t="str">
        <f t="shared" si="61"/>
        <v/>
      </c>
      <c r="T309" s="76" t="str">
        <f t="shared" si="64"/>
        <v/>
      </c>
      <c r="U309" s="5">
        <f t="shared" si="70"/>
        <v>0</v>
      </c>
      <c r="V309" s="5">
        <f t="shared" si="70"/>
        <v>0</v>
      </c>
      <c r="W309" s="77" t="str">
        <f t="shared" si="66"/>
        <v/>
      </c>
      <c r="X309" s="65" t="str">
        <f t="shared" si="67"/>
        <v/>
      </c>
      <c r="Y309" s="78" t="str">
        <f t="shared" si="68"/>
        <v/>
      </c>
      <c r="Z309" s="21"/>
      <c r="AA309" s="138"/>
      <c r="AB309" s="21"/>
    </row>
    <row r="310" spans="1:28" x14ac:dyDescent="0.25">
      <c r="A310" s="21"/>
      <c r="B310" s="18"/>
      <c r="C310" s="85" t="str">
        <f>IF(B310="","",INDEX(Elements!B:B,MATCH(Design!B310,Elements!A:A,0)))</f>
        <v/>
      </c>
      <c r="D310" s="13"/>
      <c r="E310" s="85" t="str">
        <f>IFERROR(IF(D310="","",INDEX(Elements!J:J,MATCH(Design!D310,Elements!I:I,0))),SUBSTITUTE(D310," ",""))</f>
        <v/>
      </c>
      <c r="F310" s="13"/>
      <c r="G310" s="84" t="str">
        <f>IFERROR(IF(F310="","",INDEX(Elements!L:L,MATCH(Design!F310,Elements!K:K,0))),F310)</f>
        <v/>
      </c>
      <c r="H310" s="12"/>
      <c r="I310" s="14"/>
      <c r="J310" s="63" t="str">
        <f t="shared" ca="1" si="69"/>
        <v>columnHeaders</v>
      </c>
      <c r="K310" s="63">
        <f t="shared" ca="1" si="60"/>
        <v>0</v>
      </c>
      <c r="L310" s="63" t="str">
        <f ca="1">IF(K310="fontFamily","fontFamily",IF(K310="fontSize","fontSize",IFERROR(INDEX(Elements!M:M,MATCH(Design!J310&amp;"|"&amp;Design!K310,Elements!N:N,0)),"")))</f>
        <v/>
      </c>
      <c r="M310" s="65" t="str">
        <f ca="1">IF(OR(L310="",L310="fill"),"",MATCH(IF(L310="enumeration",J310&amp;"|"&amp;G310,Design!L310),Elements!N:N,0))</f>
        <v/>
      </c>
      <c r="N310" s="65" t="str">
        <f t="shared" si="65"/>
        <v/>
      </c>
      <c r="O310" s="65" t="str">
        <f ca="1">"Elements!"&amp;INDEX(Elements!H:H,MATCH(Design!J310,Elements!J:J,0))</f>
        <v>Elements!K36:K44</v>
      </c>
      <c r="P310" s="65" t="str">
        <f t="shared" ca="1" si="71"/>
        <v>"</v>
      </c>
      <c r="Q310" s="75" t="str">
        <f t="shared" si="62"/>
        <v/>
      </c>
      <c r="R310" s="5" t="str">
        <f t="shared" si="63"/>
        <v/>
      </c>
      <c r="S310" s="5" t="str">
        <f t="shared" si="61"/>
        <v/>
      </c>
      <c r="T310" s="76" t="str">
        <f t="shared" si="64"/>
        <v/>
      </c>
      <c r="U310" s="5">
        <f t="shared" si="70"/>
        <v>0</v>
      </c>
      <c r="V310" s="5">
        <f t="shared" si="70"/>
        <v>0</v>
      </c>
      <c r="W310" s="77" t="str">
        <f t="shared" si="66"/>
        <v/>
      </c>
      <c r="X310" s="65" t="str">
        <f t="shared" si="67"/>
        <v/>
      </c>
      <c r="Y310" s="78" t="str">
        <f t="shared" si="68"/>
        <v/>
      </c>
      <c r="Z310" s="21"/>
      <c r="AA310" s="138"/>
      <c r="AB310" s="21"/>
    </row>
    <row r="311" spans="1:28" x14ac:dyDescent="0.25">
      <c r="A311" s="21"/>
      <c r="B311" s="18"/>
      <c r="C311" s="85" t="str">
        <f>IF(B311="","",INDEX(Elements!B:B,MATCH(Design!B311,Elements!A:A,0)))</f>
        <v/>
      </c>
      <c r="D311" s="13"/>
      <c r="E311" s="85" t="str">
        <f>IFERROR(IF(D311="","",INDEX(Elements!J:J,MATCH(Design!D311,Elements!I:I,0))),SUBSTITUTE(D311," ",""))</f>
        <v/>
      </c>
      <c r="F311" s="13"/>
      <c r="G311" s="84" t="str">
        <f>IFERROR(IF(F311="","",INDEX(Elements!L:L,MATCH(Design!F311,Elements!K:K,0))),F311)</f>
        <v/>
      </c>
      <c r="H311" s="12"/>
      <c r="I311" s="14"/>
      <c r="J311" s="63" t="str">
        <f t="shared" ca="1" si="69"/>
        <v>columnHeaders</v>
      </c>
      <c r="K311" s="63">
        <f t="shared" ca="1" si="60"/>
        <v>0</v>
      </c>
      <c r="L311" s="63" t="str">
        <f ca="1">IF(K311="fontFamily","fontFamily",IF(K311="fontSize","fontSize",IFERROR(INDEX(Elements!M:M,MATCH(Design!J311&amp;"|"&amp;Design!K311,Elements!N:N,0)),"")))</f>
        <v/>
      </c>
      <c r="M311" s="65" t="str">
        <f ca="1">IF(OR(L311="",L311="fill"),"",MATCH(IF(L311="enumeration",J311&amp;"|"&amp;G311,Design!L311),Elements!N:N,0))</f>
        <v/>
      </c>
      <c r="N311" s="65" t="str">
        <f t="shared" si="65"/>
        <v/>
      </c>
      <c r="O311" s="65" t="str">
        <f ca="1">"Elements!"&amp;INDEX(Elements!H:H,MATCH(Design!J311,Elements!J:J,0))</f>
        <v>Elements!K36:K44</v>
      </c>
      <c r="P311" s="65" t="str">
        <f t="shared" ca="1" si="71"/>
        <v>"</v>
      </c>
      <c r="Q311" s="75" t="str">
        <f t="shared" si="62"/>
        <v/>
      </c>
      <c r="R311" s="5" t="str">
        <f t="shared" si="63"/>
        <v/>
      </c>
      <c r="S311" s="5" t="str">
        <f t="shared" si="61"/>
        <v/>
      </c>
      <c r="T311" s="76" t="str">
        <f t="shared" si="64"/>
        <v/>
      </c>
      <c r="U311" s="5">
        <f t="shared" si="70"/>
        <v>0</v>
      </c>
      <c r="V311" s="5">
        <f t="shared" si="70"/>
        <v>0</v>
      </c>
      <c r="W311" s="77" t="str">
        <f t="shared" si="66"/>
        <v/>
      </c>
      <c r="X311" s="65" t="str">
        <f t="shared" si="67"/>
        <v/>
      </c>
      <c r="Y311" s="78" t="str">
        <f t="shared" si="68"/>
        <v/>
      </c>
      <c r="Z311" s="21"/>
      <c r="AA311" s="138"/>
      <c r="AB311" s="21"/>
    </row>
    <row r="312" spans="1:28" x14ac:dyDescent="0.25">
      <c r="A312" s="21"/>
      <c r="B312" s="18"/>
      <c r="C312" s="85" t="str">
        <f>IF(B312="","",INDEX(Elements!B:B,MATCH(Design!B312,Elements!A:A,0)))</f>
        <v/>
      </c>
      <c r="D312" s="13"/>
      <c r="E312" s="85" t="str">
        <f>IFERROR(IF(D312="","",INDEX(Elements!J:J,MATCH(Design!D312,Elements!I:I,0))),SUBSTITUTE(D312," ",""))</f>
        <v/>
      </c>
      <c r="F312" s="13"/>
      <c r="G312" s="84" t="str">
        <f>IFERROR(IF(F312="","",INDEX(Elements!L:L,MATCH(Design!F312,Elements!K:K,0))),F312)</f>
        <v/>
      </c>
      <c r="H312" s="12"/>
      <c r="I312" s="14"/>
      <c r="J312" s="63" t="str">
        <f t="shared" ca="1" si="69"/>
        <v>columnHeaders</v>
      </c>
      <c r="K312" s="63">
        <f t="shared" ca="1" si="60"/>
        <v>0</v>
      </c>
      <c r="L312" s="63" t="str">
        <f ca="1">IF(K312="fontFamily","fontFamily",IF(K312="fontSize","fontSize",IFERROR(INDEX(Elements!M:M,MATCH(Design!J312&amp;"|"&amp;Design!K312,Elements!N:N,0)),"")))</f>
        <v/>
      </c>
      <c r="M312" s="65" t="str">
        <f ca="1">IF(OR(L312="",L312="fill"),"",MATCH(IF(L312="enumeration",J312&amp;"|"&amp;G312,Design!L312),Elements!N:N,0))</f>
        <v/>
      </c>
      <c r="N312" s="65" t="str">
        <f t="shared" si="65"/>
        <v/>
      </c>
      <c r="O312" s="65" t="str">
        <f ca="1">"Elements!"&amp;INDEX(Elements!H:H,MATCH(Design!J312,Elements!J:J,0))</f>
        <v>Elements!K36:K44</v>
      </c>
      <c r="P312" s="65" t="str">
        <f t="shared" ca="1" si="71"/>
        <v>"</v>
      </c>
      <c r="Q312" s="75" t="str">
        <f t="shared" si="62"/>
        <v/>
      </c>
      <c r="R312" s="5" t="str">
        <f t="shared" si="63"/>
        <v/>
      </c>
      <c r="S312" s="5" t="str">
        <f t="shared" si="61"/>
        <v/>
      </c>
      <c r="T312" s="76" t="str">
        <f t="shared" si="64"/>
        <v/>
      </c>
      <c r="U312" s="5">
        <f t="shared" ref="U312:V343" si="72">SUMPRODUCT(LEN($T312)-LEN(SUBSTITUTE($T312,U$2,"")))</f>
        <v>0</v>
      </c>
      <c r="V312" s="5">
        <f t="shared" si="72"/>
        <v>0</v>
      </c>
      <c r="W312" s="77" t="str">
        <f t="shared" si="66"/>
        <v/>
      </c>
      <c r="X312" s="65" t="str">
        <f t="shared" si="67"/>
        <v/>
      </c>
      <c r="Y312" s="78" t="str">
        <f t="shared" si="68"/>
        <v/>
      </c>
      <c r="Z312" s="21"/>
      <c r="AA312" s="138"/>
      <c r="AB312" s="21"/>
    </row>
    <row r="313" spans="1:28" x14ac:dyDescent="0.25">
      <c r="A313" s="21"/>
      <c r="B313" s="18"/>
      <c r="C313" s="85" t="str">
        <f>IF(B313="","",INDEX(Elements!B:B,MATCH(Design!B313,Elements!A:A,0)))</f>
        <v/>
      </c>
      <c r="D313" s="13"/>
      <c r="E313" s="85" t="str">
        <f>IFERROR(IF(D313="","",INDEX(Elements!J:J,MATCH(Design!D313,Elements!I:I,0))),SUBSTITUTE(D313," ",""))</f>
        <v/>
      </c>
      <c r="F313" s="13"/>
      <c r="G313" s="84" t="str">
        <f>IFERROR(IF(F313="","",INDEX(Elements!L:L,MATCH(Design!F313,Elements!K:K,0))),F313)</f>
        <v/>
      </c>
      <c r="H313" s="12"/>
      <c r="I313" s="14"/>
      <c r="J313" s="63" t="str">
        <f t="shared" ca="1" si="69"/>
        <v>columnHeaders</v>
      </c>
      <c r="K313" s="63">
        <f t="shared" ca="1" si="60"/>
        <v>0</v>
      </c>
      <c r="L313" s="63" t="str">
        <f ca="1">IF(K313="fontFamily","fontFamily",IF(K313="fontSize","fontSize",IFERROR(INDEX(Elements!M:M,MATCH(Design!J313&amp;"|"&amp;Design!K313,Elements!N:N,0)),"")))</f>
        <v/>
      </c>
      <c r="M313" s="65" t="str">
        <f ca="1">IF(OR(L313="",L313="fill"),"",MATCH(IF(L313="enumeration",J313&amp;"|"&amp;G313,Design!L313),Elements!N:N,0))</f>
        <v/>
      </c>
      <c r="N313" s="65" t="str">
        <f t="shared" si="65"/>
        <v/>
      </c>
      <c r="O313" s="65" t="str">
        <f ca="1">"Elements!"&amp;INDEX(Elements!H:H,MATCH(Design!J313,Elements!J:J,0))</f>
        <v>Elements!K36:K44</v>
      </c>
      <c r="P313" s="65" t="str">
        <f t="shared" ca="1" si="71"/>
        <v>"</v>
      </c>
      <c r="Q313" s="75" t="str">
        <f t="shared" si="62"/>
        <v/>
      </c>
      <c r="R313" s="5" t="str">
        <f t="shared" si="63"/>
        <v/>
      </c>
      <c r="S313" s="5" t="str">
        <f t="shared" si="61"/>
        <v/>
      </c>
      <c r="T313" s="76" t="str">
        <f t="shared" si="64"/>
        <v/>
      </c>
      <c r="U313" s="5">
        <f t="shared" si="72"/>
        <v>0</v>
      </c>
      <c r="V313" s="5">
        <f t="shared" si="72"/>
        <v>0</v>
      </c>
      <c r="W313" s="77" t="str">
        <f t="shared" si="66"/>
        <v/>
      </c>
      <c r="X313" s="65" t="str">
        <f t="shared" si="67"/>
        <v/>
      </c>
      <c r="Y313" s="78" t="str">
        <f t="shared" si="68"/>
        <v/>
      </c>
      <c r="Z313" s="21"/>
      <c r="AA313" s="138"/>
      <c r="AB313" s="21"/>
    </row>
    <row r="314" spans="1:28" x14ac:dyDescent="0.25">
      <c r="A314" s="21"/>
      <c r="B314" s="18"/>
      <c r="C314" s="85" t="str">
        <f>IF(B314="","",INDEX(Elements!B:B,MATCH(Design!B314,Elements!A:A,0)))</f>
        <v/>
      </c>
      <c r="D314" s="13"/>
      <c r="E314" s="85" t="str">
        <f>IFERROR(IF(D314="","",INDEX(Elements!J:J,MATCH(Design!D314,Elements!I:I,0))),SUBSTITUTE(D314," ",""))</f>
        <v/>
      </c>
      <c r="F314" s="13"/>
      <c r="G314" s="84" t="str">
        <f>IFERROR(IF(F314="","",INDEX(Elements!L:L,MATCH(Design!F314,Elements!K:K,0))),F314)</f>
        <v/>
      </c>
      <c r="H314" s="12"/>
      <c r="I314" s="14"/>
      <c r="J314" s="63" t="str">
        <f t="shared" ca="1" si="69"/>
        <v>columnHeaders</v>
      </c>
      <c r="K314" s="63">
        <f t="shared" ref="K314:K377" ca="1" si="73">IFERROR(IF(G314="",INDIRECT("I"&amp;ROW()-1),G314),"")</f>
        <v>0</v>
      </c>
      <c r="L314" s="63" t="str">
        <f ca="1">IF(K314="fontFamily","fontFamily",IF(K314="fontSize","fontSize",IFERROR(INDEX(Elements!M:M,MATCH(Design!J314&amp;"|"&amp;Design!K314,Elements!N:N,0)),"")))</f>
        <v/>
      </c>
      <c r="M314" s="65" t="str">
        <f ca="1">IF(OR(L314="",L314="fill"),"",MATCH(IF(L314="enumeration",J314&amp;"|"&amp;G314,Design!L314),Elements!N:N,0))</f>
        <v/>
      </c>
      <c r="N314" s="65" t="str">
        <f t="shared" si="65"/>
        <v/>
      </c>
      <c r="O314" s="65" t="str">
        <f ca="1">"Elements!"&amp;INDEX(Elements!H:H,MATCH(Design!J314,Elements!J:J,0))</f>
        <v>Elements!K36:K44</v>
      </c>
      <c r="P314" s="65" t="str">
        <f t="shared" ca="1" si="71"/>
        <v>"</v>
      </c>
      <c r="Q314" s="75" t="str">
        <f t="shared" si="62"/>
        <v/>
      </c>
      <c r="R314" s="5" t="str">
        <f t="shared" si="63"/>
        <v/>
      </c>
      <c r="S314" s="5" t="str">
        <f t="shared" ref="S314:S377" si="74">IF(G314="","",IF(G313&lt;&gt;"",",","")&amp;"{"&amp;CHAR(34)&amp;G314&amp;CHAR(34)&amp;":"&amp;P314&amp;H314&amp;I314&amp;P314&amp;"}")</f>
        <v/>
      </c>
      <c r="T314" s="76" t="str">
        <f t="shared" si="64"/>
        <v/>
      </c>
      <c r="U314" s="5">
        <f t="shared" si="72"/>
        <v>0</v>
      </c>
      <c r="V314" s="5">
        <f t="shared" si="72"/>
        <v>0</v>
      </c>
      <c r="W314" s="77" t="str">
        <f t="shared" si="66"/>
        <v/>
      </c>
      <c r="X314" s="65" t="str">
        <f t="shared" si="67"/>
        <v/>
      </c>
      <c r="Y314" s="78" t="str">
        <f t="shared" si="68"/>
        <v/>
      </c>
      <c r="Z314" s="21"/>
      <c r="AA314" s="138"/>
      <c r="AB314" s="21"/>
    </row>
    <row r="315" spans="1:28" x14ac:dyDescent="0.25">
      <c r="A315" s="21"/>
      <c r="B315" s="18"/>
      <c r="C315" s="85" t="str">
        <f>IF(B315="","",INDEX(Elements!B:B,MATCH(Design!B315,Elements!A:A,0)))</f>
        <v/>
      </c>
      <c r="D315" s="13"/>
      <c r="E315" s="85" t="str">
        <f>IFERROR(IF(D315="","",INDEX(Elements!J:J,MATCH(Design!D315,Elements!I:I,0))),SUBSTITUTE(D315," ",""))</f>
        <v/>
      </c>
      <c r="F315" s="13"/>
      <c r="G315" s="84" t="str">
        <f>IFERROR(IF(F315="","",INDEX(Elements!L:L,MATCH(Design!F315,Elements!K:K,0))),F315)</f>
        <v/>
      </c>
      <c r="H315" s="12"/>
      <c r="I315" s="14"/>
      <c r="J315" s="63" t="str">
        <f t="shared" ca="1" si="69"/>
        <v>columnHeaders</v>
      </c>
      <c r="K315" s="63">
        <f t="shared" ca="1" si="73"/>
        <v>0</v>
      </c>
      <c r="L315" s="63" t="str">
        <f ca="1">IF(K315="fontFamily","fontFamily",IF(K315="fontSize","fontSize",IFERROR(INDEX(Elements!M:M,MATCH(Design!J315&amp;"|"&amp;Design!K315,Elements!N:N,0)),"")))</f>
        <v/>
      </c>
      <c r="M315" s="65" t="str">
        <f ca="1">IF(OR(L315="",L315="fill"),"",MATCH(IF(L315="enumeration",J315&amp;"|"&amp;G315,Design!L315),Elements!N:N,0))</f>
        <v/>
      </c>
      <c r="N315" s="65" t="str">
        <f t="shared" si="65"/>
        <v/>
      </c>
      <c r="O315" s="65" t="str">
        <f ca="1">"Elements!"&amp;INDEX(Elements!H:H,MATCH(Design!J315,Elements!J:J,0))</f>
        <v>Elements!K36:K44</v>
      </c>
      <c r="P315" s="65" t="str">
        <f t="shared" ca="1" si="71"/>
        <v>"</v>
      </c>
      <c r="Q315" s="75" t="str">
        <f t="shared" ref="Q315:Q378" si="75">IF(C315&lt;&gt;"","}},"&amp;CHAR(34)&amp;C315&amp;CHAR(34)&amp;":{"&amp;CHAR(34)&amp;"*"&amp;CHAR(34)&amp;":{","")</f>
        <v/>
      </c>
      <c r="R315" s="5" t="str">
        <f t="shared" ref="R315:R378" si="76">IF(AND(S314&lt;&gt;"",G315=""),"]","")&amp;IF(E315="","",IF(C314="",",","")&amp;CHAR(34)&amp;E315&amp;CHAR(34)&amp;":[")</f>
        <v/>
      </c>
      <c r="S315" s="5" t="str">
        <f t="shared" si="74"/>
        <v/>
      </c>
      <c r="T315" s="76" t="str">
        <f t="shared" si="64"/>
        <v/>
      </c>
      <c r="U315" s="5">
        <f t="shared" si="72"/>
        <v>0</v>
      </c>
      <c r="V315" s="5">
        <f t="shared" si="72"/>
        <v>0</v>
      </c>
      <c r="W315" s="77" t="str">
        <f t="shared" si="66"/>
        <v/>
      </c>
      <c r="X315" s="65" t="str">
        <f t="shared" si="67"/>
        <v/>
      </c>
      <c r="Y315" s="78" t="str">
        <f t="shared" si="68"/>
        <v/>
      </c>
      <c r="Z315" s="21"/>
      <c r="AA315" s="138"/>
      <c r="AB315" s="21"/>
    </row>
    <row r="316" spans="1:28" x14ac:dyDescent="0.25">
      <c r="A316" s="21"/>
      <c r="B316" s="18"/>
      <c r="C316" s="85" t="str">
        <f>IF(B316="","",INDEX(Elements!B:B,MATCH(Design!B316,Elements!A:A,0)))</f>
        <v/>
      </c>
      <c r="D316" s="13"/>
      <c r="E316" s="85" t="str">
        <f>IFERROR(IF(D316="","",INDEX(Elements!J:J,MATCH(Design!D316,Elements!I:I,0))),SUBSTITUTE(D316," ",""))</f>
        <v/>
      </c>
      <c r="F316" s="13"/>
      <c r="G316" s="84" t="str">
        <f>IFERROR(IF(F316="","",INDEX(Elements!L:L,MATCH(Design!F316,Elements!K:K,0))),F316)</f>
        <v/>
      </c>
      <c r="H316" s="12"/>
      <c r="I316" s="14"/>
      <c r="J316" s="63" t="str">
        <f t="shared" ca="1" si="69"/>
        <v>columnHeaders</v>
      </c>
      <c r="K316" s="63">
        <f t="shared" ca="1" si="73"/>
        <v>0</v>
      </c>
      <c r="L316" s="63" t="str">
        <f ca="1">IF(K316="fontFamily","fontFamily",IF(K316="fontSize","fontSize",IFERROR(INDEX(Elements!M:M,MATCH(Design!J316&amp;"|"&amp;Design!K316,Elements!N:N,0)),"")))</f>
        <v/>
      </c>
      <c r="M316" s="65" t="str">
        <f ca="1">IF(OR(L316="",L316="fill"),"",MATCH(IF(L316="enumeration",J316&amp;"|"&amp;G316,Design!L316),Elements!N:N,0))</f>
        <v/>
      </c>
      <c r="N316" s="65" t="str">
        <f t="shared" si="65"/>
        <v/>
      </c>
      <c r="O316" s="65" t="str">
        <f ca="1">"Elements!"&amp;INDEX(Elements!H:H,MATCH(Design!J316,Elements!J:J,0))</f>
        <v>Elements!K36:K44</v>
      </c>
      <c r="P316" s="65" t="str">
        <f t="shared" ca="1" si="71"/>
        <v>"</v>
      </c>
      <c r="Q316" s="75" t="str">
        <f t="shared" si="75"/>
        <v/>
      </c>
      <c r="R316" s="5" t="str">
        <f t="shared" si="76"/>
        <v/>
      </c>
      <c r="S316" s="5" t="str">
        <f t="shared" si="74"/>
        <v/>
      </c>
      <c r="T316" s="76" t="str">
        <f t="shared" si="64"/>
        <v/>
      </c>
      <c r="U316" s="5">
        <f t="shared" si="72"/>
        <v>0</v>
      </c>
      <c r="V316" s="5">
        <f t="shared" si="72"/>
        <v>0</v>
      </c>
      <c r="W316" s="77" t="str">
        <f t="shared" si="66"/>
        <v/>
      </c>
      <c r="X316" s="65" t="str">
        <f t="shared" si="67"/>
        <v/>
      </c>
      <c r="Y316" s="78" t="str">
        <f t="shared" si="68"/>
        <v/>
      </c>
      <c r="Z316" s="21"/>
      <c r="AA316" s="138"/>
      <c r="AB316" s="21"/>
    </row>
    <row r="317" spans="1:28" x14ac:dyDescent="0.25">
      <c r="A317" s="21"/>
      <c r="B317" s="18"/>
      <c r="C317" s="85" t="str">
        <f>IF(B317="","",INDEX(Elements!B:B,MATCH(Design!B317,Elements!A:A,0)))</f>
        <v/>
      </c>
      <c r="D317" s="13"/>
      <c r="E317" s="85" t="str">
        <f>IFERROR(IF(D317="","",INDEX(Elements!J:J,MATCH(Design!D317,Elements!I:I,0))),SUBSTITUTE(D317," ",""))</f>
        <v/>
      </c>
      <c r="F317" s="13"/>
      <c r="G317" s="84" t="str">
        <f>IFERROR(IF(F317="","",INDEX(Elements!L:L,MATCH(Design!F317,Elements!K:K,0))),F317)</f>
        <v/>
      </c>
      <c r="H317" s="12"/>
      <c r="I317" s="14"/>
      <c r="J317" s="63" t="str">
        <f t="shared" ca="1" si="69"/>
        <v>columnHeaders</v>
      </c>
      <c r="K317" s="63">
        <f t="shared" ca="1" si="73"/>
        <v>0</v>
      </c>
      <c r="L317" s="63" t="str">
        <f ca="1">IF(K317="fontFamily","fontFamily",IF(K317="fontSize","fontSize",IFERROR(INDEX(Elements!M:M,MATCH(Design!J317&amp;"|"&amp;Design!K317,Elements!N:N,0)),"")))</f>
        <v/>
      </c>
      <c r="M317" s="65" t="str">
        <f ca="1">IF(OR(L317="",L317="fill"),"",MATCH(IF(L317="enumeration",J317&amp;"|"&amp;G317,Design!L317),Elements!N:N,0))</f>
        <v/>
      </c>
      <c r="N317" s="65" t="str">
        <f t="shared" si="65"/>
        <v/>
      </c>
      <c r="O317" s="65" t="str">
        <f ca="1">"Elements!"&amp;INDEX(Elements!H:H,MATCH(Design!J317,Elements!J:J,0))</f>
        <v>Elements!K36:K44</v>
      </c>
      <c r="P317" s="65" t="str">
        <f t="shared" ca="1" si="71"/>
        <v>"</v>
      </c>
      <c r="Q317" s="75" t="str">
        <f t="shared" si="75"/>
        <v/>
      </c>
      <c r="R317" s="5" t="str">
        <f t="shared" si="76"/>
        <v/>
      </c>
      <c r="S317" s="5" t="str">
        <f t="shared" si="74"/>
        <v/>
      </c>
      <c r="T317" s="76" t="str">
        <f t="shared" si="64"/>
        <v/>
      </c>
      <c r="U317" s="5">
        <f t="shared" si="72"/>
        <v>0</v>
      </c>
      <c r="V317" s="5">
        <f t="shared" si="72"/>
        <v>0</v>
      </c>
      <c r="W317" s="77" t="str">
        <f t="shared" si="66"/>
        <v/>
      </c>
      <c r="X317" s="65" t="str">
        <f t="shared" si="67"/>
        <v/>
      </c>
      <c r="Y317" s="78" t="str">
        <f t="shared" si="68"/>
        <v/>
      </c>
      <c r="Z317" s="21"/>
      <c r="AA317" s="138"/>
      <c r="AB317" s="21"/>
    </row>
    <row r="318" spans="1:28" x14ac:dyDescent="0.25">
      <c r="A318" s="21"/>
      <c r="B318" s="18"/>
      <c r="C318" s="85" t="str">
        <f>IF(B318="","",INDEX(Elements!B:B,MATCH(Design!B318,Elements!A:A,0)))</f>
        <v/>
      </c>
      <c r="D318" s="13"/>
      <c r="E318" s="85" t="str">
        <f>IFERROR(IF(D318="","",INDEX(Elements!J:J,MATCH(Design!D318,Elements!I:I,0))),SUBSTITUTE(D318," ",""))</f>
        <v/>
      </c>
      <c r="F318" s="13"/>
      <c r="G318" s="84" t="str">
        <f>IFERROR(IF(F318="","",INDEX(Elements!L:L,MATCH(Design!F318,Elements!K:K,0))),F318)</f>
        <v/>
      </c>
      <c r="H318" s="12"/>
      <c r="I318" s="14"/>
      <c r="J318" s="63" t="str">
        <f t="shared" ca="1" si="69"/>
        <v>columnHeaders</v>
      </c>
      <c r="K318" s="63">
        <f t="shared" ca="1" si="73"/>
        <v>0</v>
      </c>
      <c r="L318" s="63" t="str">
        <f ca="1">IF(K318="fontFamily","fontFamily",IF(K318="fontSize","fontSize",IFERROR(INDEX(Elements!M:M,MATCH(Design!J318&amp;"|"&amp;Design!K318,Elements!N:N,0)),"")))</f>
        <v/>
      </c>
      <c r="M318" s="65" t="str">
        <f ca="1">IF(OR(L318="",L318="fill"),"",MATCH(IF(L318="enumeration",J318&amp;"|"&amp;G318,Design!L318),Elements!N:N,0))</f>
        <v/>
      </c>
      <c r="N318" s="65" t="str">
        <f t="shared" si="65"/>
        <v/>
      </c>
      <c r="O318" s="65" t="str">
        <f ca="1">"Elements!"&amp;INDEX(Elements!H:H,MATCH(Design!J318,Elements!J:J,0))</f>
        <v>Elements!K36:K44</v>
      </c>
      <c r="P318" s="65" t="str">
        <f t="shared" ca="1" si="71"/>
        <v>"</v>
      </c>
      <c r="Q318" s="75" t="str">
        <f t="shared" si="75"/>
        <v/>
      </c>
      <c r="R318" s="5" t="str">
        <f t="shared" si="76"/>
        <v/>
      </c>
      <c r="S318" s="5" t="str">
        <f t="shared" si="74"/>
        <v/>
      </c>
      <c r="T318" s="76" t="str">
        <f t="shared" si="64"/>
        <v/>
      </c>
      <c r="U318" s="5">
        <f t="shared" si="72"/>
        <v>0</v>
      </c>
      <c r="V318" s="5">
        <f t="shared" si="72"/>
        <v>0</v>
      </c>
      <c r="W318" s="77" t="str">
        <f t="shared" si="66"/>
        <v/>
      </c>
      <c r="X318" s="65" t="str">
        <f t="shared" si="67"/>
        <v/>
      </c>
      <c r="Y318" s="78" t="str">
        <f t="shared" si="68"/>
        <v/>
      </c>
      <c r="Z318" s="21"/>
      <c r="AA318" s="138"/>
      <c r="AB318" s="21"/>
    </row>
    <row r="319" spans="1:28" x14ac:dyDescent="0.25">
      <c r="A319" s="21"/>
      <c r="B319" s="18"/>
      <c r="C319" s="85" t="str">
        <f>IF(B319="","",INDEX(Elements!B:B,MATCH(Design!B319,Elements!A:A,0)))</f>
        <v/>
      </c>
      <c r="D319" s="13"/>
      <c r="E319" s="85" t="str">
        <f>IFERROR(IF(D319="","",INDEX(Elements!J:J,MATCH(Design!D319,Elements!I:I,0))),SUBSTITUTE(D319," ",""))</f>
        <v/>
      </c>
      <c r="F319" s="13"/>
      <c r="G319" s="84" t="str">
        <f>IFERROR(IF(F319="","",INDEX(Elements!L:L,MATCH(Design!F319,Elements!K:K,0))),F319)</f>
        <v/>
      </c>
      <c r="H319" s="12"/>
      <c r="I319" s="14"/>
      <c r="J319" s="63" t="str">
        <f t="shared" ca="1" si="69"/>
        <v>columnHeaders</v>
      </c>
      <c r="K319" s="63">
        <f t="shared" ca="1" si="73"/>
        <v>0</v>
      </c>
      <c r="L319" s="63" t="str">
        <f ca="1">IF(K319="fontFamily","fontFamily",IF(K319="fontSize","fontSize",IFERROR(INDEX(Elements!M:M,MATCH(Design!J319&amp;"|"&amp;Design!K319,Elements!N:N,0)),"")))</f>
        <v/>
      </c>
      <c r="M319" s="65" t="str">
        <f ca="1">IF(OR(L319="",L319="fill"),"",MATCH(IF(L319="enumeration",J319&amp;"|"&amp;G319,Design!L319),Elements!N:N,0))</f>
        <v/>
      </c>
      <c r="N319" s="65" t="str">
        <f t="shared" si="65"/>
        <v/>
      </c>
      <c r="O319" s="65" t="str">
        <f ca="1">"Elements!"&amp;INDEX(Elements!H:H,MATCH(Design!J319,Elements!J:J,0))</f>
        <v>Elements!K36:K44</v>
      </c>
      <c r="P319" s="65" t="str">
        <f t="shared" ca="1" si="71"/>
        <v>"</v>
      </c>
      <c r="Q319" s="75" t="str">
        <f t="shared" si="75"/>
        <v/>
      </c>
      <c r="R319" s="5" t="str">
        <f t="shared" si="76"/>
        <v/>
      </c>
      <c r="S319" s="5" t="str">
        <f t="shared" si="74"/>
        <v/>
      </c>
      <c r="T319" s="76" t="str">
        <f t="shared" ref="T319:T382" si="77">R319&amp;S319&amp;Q319</f>
        <v/>
      </c>
      <c r="U319" s="5">
        <f t="shared" si="72"/>
        <v>0</v>
      </c>
      <c r="V319" s="5">
        <f t="shared" si="72"/>
        <v>0</v>
      </c>
      <c r="W319" s="77" t="str">
        <f t="shared" si="66"/>
        <v/>
      </c>
      <c r="X319" s="65" t="str">
        <f t="shared" si="67"/>
        <v/>
      </c>
      <c r="Y319" s="78" t="str">
        <f t="shared" si="68"/>
        <v/>
      </c>
      <c r="Z319" s="21"/>
      <c r="AA319" s="138"/>
      <c r="AB319" s="21"/>
    </row>
    <row r="320" spans="1:28" x14ac:dyDescent="0.25">
      <c r="A320" s="21"/>
      <c r="B320" s="18"/>
      <c r="C320" s="85" t="str">
        <f>IF(B320="","",INDEX(Elements!B:B,MATCH(Design!B320,Elements!A:A,0)))</f>
        <v/>
      </c>
      <c r="D320" s="13"/>
      <c r="E320" s="85" t="str">
        <f>IFERROR(IF(D320="","",INDEX(Elements!J:J,MATCH(Design!D320,Elements!I:I,0))),SUBSTITUTE(D320," ",""))</f>
        <v/>
      </c>
      <c r="F320" s="13"/>
      <c r="G320" s="84" t="str">
        <f>IFERROR(IF(F320="","",INDEX(Elements!L:L,MATCH(Design!F320,Elements!K:K,0))),F320)</f>
        <v/>
      </c>
      <c r="H320" s="12"/>
      <c r="I320" s="14"/>
      <c r="J320" s="63" t="str">
        <f t="shared" ca="1" si="69"/>
        <v>columnHeaders</v>
      </c>
      <c r="K320" s="63">
        <f t="shared" ca="1" si="73"/>
        <v>0</v>
      </c>
      <c r="L320" s="63" t="str">
        <f ca="1">IF(K320="fontFamily","fontFamily",IF(K320="fontSize","fontSize",IFERROR(INDEX(Elements!M:M,MATCH(Design!J320&amp;"|"&amp;Design!K320,Elements!N:N,0)),"")))</f>
        <v/>
      </c>
      <c r="M320" s="65" t="str">
        <f ca="1">IF(OR(L320="",L320="fill"),"",MATCH(IF(L320="enumeration",J320&amp;"|"&amp;G320,Design!L320),Elements!N:N,0))</f>
        <v/>
      </c>
      <c r="N320" s="65" t="str">
        <f t="shared" si="65"/>
        <v/>
      </c>
      <c r="O320" s="65" t="str">
        <f ca="1">"Elements!"&amp;INDEX(Elements!H:H,MATCH(Design!J320,Elements!J:J,0))</f>
        <v>Elements!K36:K44</v>
      </c>
      <c r="P320" s="65" t="str">
        <f t="shared" ca="1" si="71"/>
        <v>"</v>
      </c>
      <c r="Q320" s="75" t="str">
        <f t="shared" si="75"/>
        <v/>
      </c>
      <c r="R320" s="5" t="str">
        <f t="shared" si="76"/>
        <v/>
      </c>
      <c r="S320" s="5" t="str">
        <f t="shared" si="74"/>
        <v/>
      </c>
      <c r="T320" s="76" t="str">
        <f t="shared" si="77"/>
        <v/>
      </c>
      <c r="U320" s="5">
        <f t="shared" si="72"/>
        <v>0</v>
      </c>
      <c r="V320" s="5">
        <f t="shared" si="72"/>
        <v>0</v>
      </c>
      <c r="W320" s="77" t="str">
        <f t="shared" si="66"/>
        <v/>
      </c>
      <c r="X320" s="65" t="str">
        <f t="shared" si="67"/>
        <v/>
      </c>
      <c r="Y320" s="78" t="str">
        <f t="shared" si="68"/>
        <v/>
      </c>
      <c r="Z320" s="21"/>
      <c r="AA320" s="138"/>
      <c r="AB320" s="21"/>
    </row>
    <row r="321" spans="1:28" x14ac:dyDescent="0.25">
      <c r="A321" s="21"/>
      <c r="B321" s="18"/>
      <c r="C321" s="85" t="str">
        <f>IF(B321="","",INDEX(Elements!B:B,MATCH(Design!B321,Elements!A:A,0)))</f>
        <v/>
      </c>
      <c r="D321" s="13"/>
      <c r="E321" s="85" t="str">
        <f>IFERROR(IF(D321="","",INDEX(Elements!J:J,MATCH(Design!D321,Elements!I:I,0))),SUBSTITUTE(D321," ",""))</f>
        <v/>
      </c>
      <c r="F321" s="13"/>
      <c r="G321" s="84" t="str">
        <f>IFERROR(IF(F321="","",INDEX(Elements!L:L,MATCH(Design!F321,Elements!K:K,0))),F321)</f>
        <v/>
      </c>
      <c r="H321" s="12"/>
      <c r="I321" s="14"/>
      <c r="J321" s="63" t="str">
        <f t="shared" ca="1" si="69"/>
        <v>columnHeaders</v>
      </c>
      <c r="K321" s="63">
        <f t="shared" ca="1" si="73"/>
        <v>0</v>
      </c>
      <c r="L321" s="63" t="str">
        <f ca="1">IF(K321="fontFamily","fontFamily",IF(K321="fontSize","fontSize",IFERROR(INDEX(Elements!M:M,MATCH(Design!J321&amp;"|"&amp;Design!K321,Elements!N:N,0)),"")))</f>
        <v/>
      </c>
      <c r="M321" s="65" t="str">
        <f ca="1">IF(OR(L321="",L321="fill"),"",MATCH(IF(L321="enumeration",J321&amp;"|"&amp;G321,Design!L321),Elements!N:N,0))</f>
        <v/>
      </c>
      <c r="N321" s="65" t="str">
        <f t="shared" si="65"/>
        <v/>
      </c>
      <c r="O321" s="65" t="str">
        <f ca="1">"Elements!"&amp;INDEX(Elements!H:H,MATCH(Design!J321,Elements!J:J,0))</f>
        <v>Elements!K36:K44</v>
      </c>
      <c r="P321" s="65" t="str">
        <f t="shared" ca="1" si="71"/>
        <v>"</v>
      </c>
      <c r="Q321" s="75" t="str">
        <f t="shared" si="75"/>
        <v/>
      </c>
      <c r="R321" s="5" t="str">
        <f t="shared" si="76"/>
        <v/>
      </c>
      <c r="S321" s="5" t="str">
        <f t="shared" si="74"/>
        <v/>
      </c>
      <c r="T321" s="76" t="str">
        <f t="shared" si="77"/>
        <v/>
      </c>
      <c r="U321" s="5">
        <f t="shared" si="72"/>
        <v>0</v>
      </c>
      <c r="V321" s="5">
        <f t="shared" si="72"/>
        <v>0</v>
      </c>
      <c r="W321" s="77" t="str">
        <f t="shared" si="66"/>
        <v/>
      </c>
      <c r="X321" s="65" t="str">
        <f t="shared" si="67"/>
        <v/>
      </c>
      <c r="Y321" s="78" t="str">
        <f t="shared" si="68"/>
        <v/>
      </c>
      <c r="Z321" s="21"/>
      <c r="AA321" s="138"/>
      <c r="AB321" s="21"/>
    </row>
    <row r="322" spans="1:28" x14ac:dyDescent="0.25">
      <c r="A322" s="21"/>
      <c r="B322" s="18"/>
      <c r="C322" s="85" t="str">
        <f>IF(B322="","",INDEX(Elements!B:B,MATCH(Design!B322,Elements!A:A,0)))</f>
        <v/>
      </c>
      <c r="D322" s="13"/>
      <c r="E322" s="85" t="str">
        <f>IFERROR(IF(D322="","",INDEX(Elements!J:J,MATCH(Design!D322,Elements!I:I,0))),SUBSTITUTE(D322," ",""))</f>
        <v/>
      </c>
      <c r="F322" s="13"/>
      <c r="G322" s="84" t="str">
        <f>IFERROR(IF(F322="","",INDEX(Elements!L:L,MATCH(Design!F322,Elements!K:K,0))),F322)</f>
        <v/>
      </c>
      <c r="H322" s="12"/>
      <c r="I322" s="14"/>
      <c r="J322" s="63" t="str">
        <f t="shared" ca="1" si="69"/>
        <v>columnHeaders</v>
      </c>
      <c r="K322" s="63">
        <f t="shared" ca="1" si="73"/>
        <v>0</v>
      </c>
      <c r="L322" s="63" t="str">
        <f ca="1">IF(K322="fontFamily","fontFamily",IF(K322="fontSize","fontSize",IFERROR(INDEX(Elements!M:M,MATCH(Design!J322&amp;"|"&amp;Design!K322,Elements!N:N,0)),"")))</f>
        <v/>
      </c>
      <c r="M322" s="65" t="str">
        <f ca="1">IF(OR(L322="",L322="fill"),"",MATCH(IF(L322="enumeration",J322&amp;"|"&amp;G322,Design!L322),Elements!N:N,0))</f>
        <v/>
      </c>
      <c r="N322" s="65" t="str">
        <f t="shared" si="65"/>
        <v/>
      </c>
      <c r="O322" s="65" t="str">
        <f ca="1">"Elements!"&amp;INDEX(Elements!H:H,MATCH(Design!J322,Elements!J:J,0))</f>
        <v>Elements!K36:K44</v>
      </c>
      <c r="P322" s="65" t="str">
        <f t="shared" ca="1" si="71"/>
        <v>"</v>
      </c>
      <c r="Q322" s="75" t="str">
        <f t="shared" si="75"/>
        <v/>
      </c>
      <c r="R322" s="5" t="str">
        <f t="shared" si="76"/>
        <v/>
      </c>
      <c r="S322" s="5" t="str">
        <f t="shared" si="74"/>
        <v/>
      </c>
      <c r="T322" s="76" t="str">
        <f t="shared" si="77"/>
        <v/>
      </c>
      <c r="U322" s="5">
        <f t="shared" si="72"/>
        <v>0</v>
      </c>
      <c r="V322" s="5">
        <f t="shared" si="72"/>
        <v>0</v>
      </c>
      <c r="W322" s="77" t="str">
        <f t="shared" si="66"/>
        <v/>
      </c>
      <c r="X322" s="65" t="str">
        <f t="shared" si="67"/>
        <v/>
      </c>
      <c r="Y322" s="78" t="str">
        <f t="shared" si="68"/>
        <v/>
      </c>
      <c r="Z322" s="21"/>
      <c r="AA322" s="138"/>
      <c r="AB322" s="21"/>
    </row>
    <row r="323" spans="1:28" x14ac:dyDescent="0.25">
      <c r="A323" s="21"/>
      <c r="B323" s="18"/>
      <c r="C323" s="85" t="str">
        <f>IF(B323="","",INDEX(Elements!B:B,MATCH(Design!B323,Elements!A:A,0)))</f>
        <v/>
      </c>
      <c r="D323" s="13"/>
      <c r="E323" s="85" t="str">
        <f>IFERROR(IF(D323="","",INDEX(Elements!J:J,MATCH(Design!D323,Elements!I:I,0))),SUBSTITUTE(D323," ",""))</f>
        <v/>
      </c>
      <c r="F323" s="13"/>
      <c r="G323" s="84" t="str">
        <f>IFERROR(IF(F323="","",INDEX(Elements!L:L,MATCH(Design!F323,Elements!K:K,0))),F323)</f>
        <v/>
      </c>
      <c r="H323" s="12"/>
      <c r="I323" s="14"/>
      <c r="J323" s="63" t="str">
        <f t="shared" ca="1" si="69"/>
        <v>columnHeaders</v>
      </c>
      <c r="K323" s="63">
        <f t="shared" ca="1" si="73"/>
        <v>0</v>
      </c>
      <c r="L323" s="63" t="str">
        <f ca="1">IF(K323="fontFamily","fontFamily",IF(K323="fontSize","fontSize",IFERROR(INDEX(Elements!M:M,MATCH(Design!J323&amp;"|"&amp;Design!K323,Elements!N:N,0)),"")))</f>
        <v/>
      </c>
      <c r="M323" s="65" t="str">
        <f ca="1">IF(OR(L323="",L323="fill"),"",MATCH(IF(L323="enumeration",J323&amp;"|"&amp;G323,Design!L323),Elements!N:N,0))</f>
        <v/>
      </c>
      <c r="N323" s="65" t="str">
        <f t="shared" si="65"/>
        <v/>
      </c>
      <c r="O323" s="65" t="str">
        <f ca="1">"Elements!"&amp;INDEX(Elements!H:H,MATCH(Design!J323,Elements!J:J,0))</f>
        <v>Elements!K36:K44</v>
      </c>
      <c r="P323" s="65" t="str">
        <f t="shared" ca="1" si="71"/>
        <v>"</v>
      </c>
      <c r="Q323" s="75" t="str">
        <f t="shared" si="75"/>
        <v/>
      </c>
      <c r="R323" s="5" t="str">
        <f t="shared" si="76"/>
        <v/>
      </c>
      <c r="S323" s="5" t="str">
        <f t="shared" si="74"/>
        <v/>
      </c>
      <c r="T323" s="76" t="str">
        <f t="shared" si="77"/>
        <v/>
      </c>
      <c r="U323" s="5">
        <f t="shared" si="72"/>
        <v>0</v>
      </c>
      <c r="V323" s="5">
        <f t="shared" si="72"/>
        <v>0</v>
      </c>
      <c r="W323" s="77" t="str">
        <f t="shared" si="66"/>
        <v/>
      </c>
      <c r="X323" s="65" t="str">
        <f t="shared" si="67"/>
        <v/>
      </c>
      <c r="Y323" s="78" t="str">
        <f t="shared" si="68"/>
        <v/>
      </c>
      <c r="Z323" s="21"/>
      <c r="AA323" s="138"/>
      <c r="AB323" s="21"/>
    </row>
    <row r="324" spans="1:28" x14ac:dyDescent="0.25">
      <c r="A324" s="21"/>
      <c r="B324" s="18"/>
      <c r="C324" s="85" t="str">
        <f>IF(B324="","",INDEX(Elements!B:B,MATCH(Design!B324,Elements!A:A,0)))</f>
        <v/>
      </c>
      <c r="D324" s="13"/>
      <c r="E324" s="85" t="str">
        <f>IFERROR(IF(D324="","",INDEX(Elements!J:J,MATCH(Design!D324,Elements!I:I,0))),SUBSTITUTE(D324," ",""))</f>
        <v/>
      </c>
      <c r="F324" s="13"/>
      <c r="G324" s="84" t="str">
        <f>IFERROR(IF(F324="","",INDEX(Elements!L:L,MATCH(Design!F324,Elements!K:K,0))),F324)</f>
        <v/>
      </c>
      <c r="H324" s="12"/>
      <c r="I324" s="14"/>
      <c r="J324" s="63" t="str">
        <f t="shared" ca="1" si="69"/>
        <v>columnHeaders</v>
      </c>
      <c r="K324" s="63">
        <f t="shared" ca="1" si="73"/>
        <v>0</v>
      </c>
      <c r="L324" s="63" t="str">
        <f ca="1">IF(K324="fontFamily","fontFamily",IF(K324="fontSize","fontSize",IFERROR(INDEX(Elements!M:M,MATCH(Design!J324&amp;"|"&amp;Design!K324,Elements!N:N,0)),"")))</f>
        <v/>
      </c>
      <c r="M324" s="65" t="str">
        <f ca="1">IF(OR(L324="",L324="fill"),"",MATCH(IF(L324="enumeration",J324&amp;"|"&amp;G324,Design!L324),Elements!N:N,0))</f>
        <v/>
      </c>
      <c r="N324" s="65" t="str">
        <f t="shared" si="65"/>
        <v/>
      </c>
      <c r="O324" s="65" t="str">
        <f ca="1">"Elements!"&amp;INDEX(Elements!H:H,MATCH(Design!J324,Elements!J:J,0))</f>
        <v>Elements!K36:K44</v>
      </c>
      <c r="P324" s="65" t="str">
        <f t="shared" ca="1" si="71"/>
        <v>"</v>
      </c>
      <c r="Q324" s="75" t="str">
        <f t="shared" si="75"/>
        <v/>
      </c>
      <c r="R324" s="5" t="str">
        <f t="shared" si="76"/>
        <v/>
      </c>
      <c r="S324" s="5" t="str">
        <f t="shared" si="74"/>
        <v/>
      </c>
      <c r="T324" s="76" t="str">
        <f t="shared" si="77"/>
        <v/>
      </c>
      <c r="U324" s="5">
        <f t="shared" si="72"/>
        <v>0</v>
      </c>
      <c r="V324" s="5">
        <f t="shared" si="72"/>
        <v>0</v>
      </c>
      <c r="W324" s="77" t="str">
        <f t="shared" si="66"/>
        <v/>
      </c>
      <c r="X324" s="65" t="str">
        <f t="shared" si="67"/>
        <v/>
      </c>
      <c r="Y324" s="78" t="str">
        <f t="shared" si="68"/>
        <v/>
      </c>
      <c r="Z324" s="21"/>
      <c r="AA324" s="138"/>
      <c r="AB324" s="21"/>
    </row>
    <row r="325" spans="1:28" x14ac:dyDescent="0.25">
      <c r="A325" s="21"/>
      <c r="B325" s="18"/>
      <c r="C325" s="85" t="str">
        <f>IF(B325="","",INDEX(Elements!B:B,MATCH(Design!B325,Elements!A:A,0)))</f>
        <v/>
      </c>
      <c r="D325" s="13"/>
      <c r="E325" s="85" t="str">
        <f>IFERROR(IF(D325="","",INDEX(Elements!J:J,MATCH(Design!D325,Elements!I:I,0))),SUBSTITUTE(D325," ",""))</f>
        <v/>
      </c>
      <c r="F325" s="13"/>
      <c r="G325" s="84" t="str">
        <f>IFERROR(IF(F325="","",INDEX(Elements!L:L,MATCH(Design!F325,Elements!K:K,0))),F325)</f>
        <v/>
      </c>
      <c r="H325" s="12"/>
      <c r="I325" s="14"/>
      <c r="J325" s="63" t="str">
        <f t="shared" ca="1" si="69"/>
        <v>columnHeaders</v>
      </c>
      <c r="K325" s="63">
        <f t="shared" ca="1" si="73"/>
        <v>0</v>
      </c>
      <c r="L325" s="63" t="str">
        <f ca="1">IF(K325="fontFamily","fontFamily",IF(K325="fontSize","fontSize",IFERROR(INDEX(Elements!M:M,MATCH(Design!J325&amp;"|"&amp;Design!K325,Elements!N:N,0)),"")))</f>
        <v/>
      </c>
      <c r="M325" s="65" t="str">
        <f ca="1">IF(OR(L325="",L325="fill"),"",MATCH(IF(L325="enumeration",J325&amp;"|"&amp;G325,Design!L325),Elements!N:N,0))</f>
        <v/>
      </c>
      <c r="N325" s="65" t="str">
        <f t="shared" si="65"/>
        <v/>
      </c>
      <c r="O325" s="65" t="str">
        <f ca="1">"Elements!"&amp;INDEX(Elements!H:H,MATCH(Design!J325,Elements!J:J,0))</f>
        <v>Elements!K36:K44</v>
      </c>
      <c r="P325" s="65" t="str">
        <f t="shared" ca="1" si="71"/>
        <v>"</v>
      </c>
      <c r="Q325" s="75" t="str">
        <f t="shared" si="75"/>
        <v/>
      </c>
      <c r="R325" s="5" t="str">
        <f t="shared" si="76"/>
        <v/>
      </c>
      <c r="S325" s="5" t="str">
        <f t="shared" si="74"/>
        <v/>
      </c>
      <c r="T325" s="76" t="str">
        <f t="shared" si="77"/>
        <v/>
      </c>
      <c r="U325" s="5">
        <f t="shared" si="72"/>
        <v>0</v>
      </c>
      <c r="V325" s="5">
        <f t="shared" si="72"/>
        <v>0</v>
      </c>
      <c r="W325" s="77" t="str">
        <f t="shared" si="66"/>
        <v/>
      </c>
      <c r="X325" s="65" t="str">
        <f t="shared" si="67"/>
        <v/>
      </c>
      <c r="Y325" s="78" t="str">
        <f t="shared" si="68"/>
        <v/>
      </c>
      <c r="Z325" s="21"/>
      <c r="AA325" s="138"/>
      <c r="AB325" s="21"/>
    </row>
    <row r="326" spans="1:28" x14ac:dyDescent="0.25">
      <c r="A326" s="21"/>
      <c r="B326" s="18"/>
      <c r="C326" s="85" t="str">
        <f>IF(B326="","",INDEX(Elements!B:B,MATCH(Design!B326,Elements!A:A,0)))</f>
        <v/>
      </c>
      <c r="D326" s="13"/>
      <c r="E326" s="85" t="str">
        <f>IFERROR(IF(D326="","",INDEX(Elements!J:J,MATCH(Design!D326,Elements!I:I,0))),SUBSTITUTE(D326," ",""))</f>
        <v/>
      </c>
      <c r="F326" s="13"/>
      <c r="G326" s="84" t="str">
        <f>IFERROR(IF(F326="","",INDEX(Elements!L:L,MATCH(Design!F326,Elements!K:K,0))),F326)</f>
        <v/>
      </c>
      <c r="H326" s="12"/>
      <c r="I326" s="14"/>
      <c r="J326" s="63" t="str">
        <f t="shared" ca="1" si="69"/>
        <v>columnHeaders</v>
      </c>
      <c r="K326" s="63">
        <f t="shared" ca="1" si="73"/>
        <v>0</v>
      </c>
      <c r="L326" s="63" t="str">
        <f ca="1">IF(K326="fontFamily","fontFamily",IF(K326="fontSize","fontSize",IFERROR(INDEX(Elements!M:M,MATCH(Design!J326&amp;"|"&amp;Design!K326,Elements!N:N,0)),"")))</f>
        <v/>
      </c>
      <c r="M326" s="65" t="str">
        <f ca="1">IF(OR(L326="",L326="fill"),"",MATCH(IF(L326="enumeration",J326&amp;"|"&amp;G326,Design!L326),Elements!N:N,0))</f>
        <v/>
      </c>
      <c r="N326" s="65" t="str">
        <f t="shared" si="65"/>
        <v/>
      </c>
      <c r="O326" s="65" t="str">
        <f ca="1">"Elements!"&amp;INDEX(Elements!H:H,MATCH(Design!J326,Elements!J:J,0))</f>
        <v>Elements!K36:K44</v>
      </c>
      <c r="P326" s="65" t="str">
        <f t="shared" ca="1" si="71"/>
        <v>"</v>
      </c>
      <c r="Q326" s="75" t="str">
        <f t="shared" si="75"/>
        <v/>
      </c>
      <c r="R326" s="5" t="str">
        <f t="shared" si="76"/>
        <v/>
      </c>
      <c r="S326" s="5" t="str">
        <f t="shared" si="74"/>
        <v/>
      </c>
      <c r="T326" s="76" t="str">
        <f t="shared" si="77"/>
        <v/>
      </c>
      <c r="U326" s="5">
        <f t="shared" si="72"/>
        <v>0</v>
      </c>
      <c r="V326" s="5">
        <f t="shared" si="72"/>
        <v>0</v>
      </c>
      <c r="W326" s="77" t="str">
        <f t="shared" si="66"/>
        <v/>
      </c>
      <c r="X326" s="65" t="str">
        <f t="shared" si="67"/>
        <v/>
      </c>
      <c r="Y326" s="78" t="str">
        <f t="shared" si="68"/>
        <v/>
      </c>
      <c r="Z326" s="21"/>
      <c r="AA326" s="138"/>
      <c r="AB326" s="21"/>
    </row>
    <row r="327" spans="1:28" x14ac:dyDescent="0.25">
      <c r="A327" s="21"/>
      <c r="B327" s="18"/>
      <c r="C327" s="85" t="str">
        <f>IF(B327="","",INDEX(Elements!B:B,MATCH(Design!B327,Elements!A:A,0)))</f>
        <v/>
      </c>
      <c r="D327" s="13"/>
      <c r="E327" s="85" t="str">
        <f>IFERROR(IF(D327="","",INDEX(Elements!J:J,MATCH(Design!D327,Elements!I:I,0))),SUBSTITUTE(D327," ",""))</f>
        <v/>
      </c>
      <c r="F327" s="13"/>
      <c r="G327" s="84" t="str">
        <f>IFERROR(IF(F327="","",INDEX(Elements!L:L,MATCH(Design!F327,Elements!K:K,0))),F327)</f>
        <v/>
      </c>
      <c r="H327" s="12"/>
      <c r="I327" s="14"/>
      <c r="J327" s="63" t="str">
        <f t="shared" ca="1" si="69"/>
        <v>columnHeaders</v>
      </c>
      <c r="K327" s="63">
        <f t="shared" ca="1" si="73"/>
        <v>0</v>
      </c>
      <c r="L327" s="63" t="str">
        <f ca="1">IF(K327="fontFamily","fontFamily",IF(K327="fontSize","fontSize",IFERROR(INDEX(Elements!M:M,MATCH(Design!J327&amp;"|"&amp;Design!K327,Elements!N:N,0)),"")))</f>
        <v/>
      </c>
      <c r="M327" s="65" t="str">
        <f ca="1">IF(OR(L327="",L327="fill"),"",MATCH(IF(L327="enumeration",J327&amp;"|"&amp;G327,Design!L327),Elements!N:N,0))</f>
        <v/>
      </c>
      <c r="N327" s="65" t="str">
        <f t="shared" si="65"/>
        <v/>
      </c>
      <c r="O327" s="65" t="str">
        <f ca="1">"Elements!"&amp;INDEX(Elements!H:H,MATCH(Design!J327,Elements!J:J,0))</f>
        <v>Elements!K36:K44</v>
      </c>
      <c r="P327" s="65" t="str">
        <f t="shared" ca="1" si="71"/>
        <v>"</v>
      </c>
      <c r="Q327" s="75" t="str">
        <f t="shared" si="75"/>
        <v/>
      </c>
      <c r="R327" s="5" t="str">
        <f t="shared" si="76"/>
        <v/>
      </c>
      <c r="S327" s="5" t="str">
        <f t="shared" si="74"/>
        <v/>
      </c>
      <c r="T327" s="76" t="str">
        <f t="shared" si="77"/>
        <v/>
      </c>
      <c r="U327" s="5">
        <f t="shared" si="72"/>
        <v>0</v>
      </c>
      <c r="V327" s="5">
        <f t="shared" si="72"/>
        <v>0</v>
      </c>
      <c r="W327" s="77" t="str">
        <f t="shared" si="66"/>
        <v/>
      </c>
      <c r="X327" s="65" t="str">
        <f t="shared" si="67"/>
        <v/>
      </c>
      <c r="Y327" s="78" t="str">
        <f t="shared" si="68"/>
        <v/>
      </c>
      <c r="Z327" s="21"/>
      <c r="AA327" s="138"/>
      <c r="AB327" s="21"/>
    </row>
    <row r="328" spans="1:28" x14ac:dyDescent="0.25">
      <c r="A328" s="21"/>
      <c r="B328" s="18"/>
      <c r="C328" s="85" t="str">
        <f>IF(B328="","",INDEX(Elements!B:B,MATCH(Design!B328,Elements!A:A,0)))</f>
        <v/>
      </c>
      <c r="D328" s="13"/>
      <c r="E328" s="85" t="str">
        <f>IFERROR(IF(D328="","",INDEX(Elements!J:J,MATCH(Design!D328,Elements!I:I,0))),SUBSTITUTE(D328," ",""))</f>
        <v/>
      </c>
      <c r="F328" s="13"/>
      <c r="G328" s="84" t="str">
        <f>IFERROR(IF(F328="","",INDEX(Elements!L:L,MATCH(Design!F328,Elements!K:K,0))),F328)</f>
        <v/>
      </c>
      <c r="H328" s="12"/>
      <c r="I328" s="14"/>
      <c r="J328" s="63" t="str">
        <f t="shared" ca="1" si="69"/>
        <v>columnHeaders</v>
      </c>
      <c r="K328" s="63">
        <f t="shared" ca="1" si="73"/>
        <v>0</v>
      </c>
      <c r="L328" s="63" t="str">
        <f ca="1">IF(K328="fontFamily","fontFamily",IF(K328="fontSize","fontSize",IFERROR(INDEX(Elements!M:M,MATCH(Design!J328&amp;"|"&amp;Design!K328,Elements!N:N,0)),"")))</f>
        <v/>
      </c>
      <c r="M328" s="65" t="str">
        <f ca="1">IF(OR(L328="",L328="fill"),"",MATCH(IF(L328="enumeration",J328&amp;"|"&amp;G328,Design!L328),Elements!N:N,0))</f>
        <v/>
      </c>
      <c r="N328" s="65" t="str">
        <f t="shared" si="65"/>
        <v/>
      </c>
      <c r="O328" s="65" t="str">
        <f ca="1">"Elements!"&amp;INDEX(Elements!H:H,MATCH(Design!J328,Elements!J:J,0))</f>
        <v>Elements!K36:K44</v>
      </c>
      <c r="P328" s="65" t="str">
        <f t="shared" ca="1" si="71"/>
        <v>"</v>
      </c>
      <c r="Q328" s="75" t="str">
        <f t="shared" si="75"/>
        <v/>
      </c>
      <c r="R328" s="5" t="str">
        <f t="shared" si="76"/>
        <v/>
      </c>
      <c r="S328" s="5" t="str">
        <f t="shared" si="74"/>
        <v/>
      </c>
      <c r="T328" s="76" t="str">
        <f t="shared" si="77"/>
        <v/>
      </c>
      <c r="U328" s="5">
        <f t="shared" si="72"/>
        <v>0</v>
      </c>
      <c r="V328" s="5">
        <f t="shared" si="72"/>
        <v>0</v>
      </c>
      <c r="W328" s="77" t="str">
        <f t="shared" si="66"/>
        <v/>
      </c>
      <c r="X328" s="65" t="str">
        <f t="shared" si="67"/>
        <v/>
      </c>
      <c r="Y328" s="78" t="str">
        <f t="shared" si="68"/>
        <v/>
      </c>
      <c r="Z328" s="21"/>
      <c r="AA328" s="138"/>
      <c r="AB328" s="21"/>
    </row>
    <row r="329" spans="1:28" x14ac:dyDescent="0.25">
      <c r="A329" s="21"/>
      <c r="B329" s="18"/>
      <c r="C329" s="85" t="str">
        <f>IF(B329="","",INDEX(Elements!B:B,MATCH(Design!B329,Elements!A:A,0)))</f>
        <v/>
      </c>
      <c r="D329" s="13"/>
      <c r="E329" s="85" t="str">
        <f>IFERROR(IF(D329="","",INDEX(Elements!J:J,MATCH(Design!D329,Elements!I:I,0))),SUBSTITUTE(D329," ",""))</f>
        <v/>
      </c>
      <c r="F329" s="13"/>
      <c r="G329" s="84" t="str">
        <f>IFERROR(IF(F329="","",INDEX(Elements!L:L,MATCH(Design!F329,Elements!K:K,0))),F329)</f>
        <v/>
      </c>
      <c r="H329" s="12"/>
      <c r="I329" s="14"/>
      <c r="J329" s="63" t="str">
        <f t="shared" ca="1" si="69"/>
        <v>columnHeaders</v>
      </c>
      <c r="K329" s="63">
        <f t="shared" ca="1" si="73"/>
        <v>0</v>
      </c>
      <c r="L329" s="63" t="str">
        <f ca="1">IF(K329="fontFamily","fontFamily",IF(K329="fontSize","fontSize",IFERROR(INDEX(Elements!M:M,MATCH(Design!J329&amp;"|"&amp;Design!K329,Elements!N:N,0)),"")))</f>
        <v/>
      </c>
      <c r="M329" s="65" t="str">
        <f ca="1">IF(OR(L329="",L329="fill"),"",MATCH(IF(L329="enumeration",J329&amp;"|"&amp;G329,Design!L329),Elements!N:N,0))</f>
        <v/>
      </c>
      <c r="N329" s="65" t="str">
        <f t="shared" si="65"/>
        <v/>
      </c>
      <c r="O329" s="65" t="str">
        <f ca="1">"Elements!"&amp;INDEX(Elements!H:H,MATCH(Design!J329,Elements!J:J,0))</f>
        <v>Elements!K36:K44</v>
      </c>
      <c r="P329" s="65" t="str">
        <f t="shared" ca="1" si="71"/>
        <v>"</v>
      </c>
      <c r="Q329" s="75" t="str">
        <f t="shared" si="75"/>
        <v/>
      </c>
      <c r="R329" s="5" t="str">
        <f t="shared" si="76"/>
        <v/>
      </c>
      <c r="S329" s="5" t="str">
        <f t="shared" si="74"/>
        <v/>
      </c>
      <c r="T329" s="76" t="str">
        <f t="shared" si="77"/>
        <v/>
      </c>
      <c r="U329" s="5">
        <f t="shared" si="72"/>
        <v>0</v>
      </c>
      <c r="V329" s="5">
        <f t="shared" si="72"/>
        <v>0</v>
      </c>
      <c r="W329" s="77" t="str">
        <f t="shared" si="66"/>
        <v/>
      </c>
      <c r="X329" s="65" t="str">
        <f t="shared" si="67"/>
        <v/>
      </c>
      <c r="Y329" s="78" t="str">
        <f t="shared" si="68"/>
        <v/>
      </c>
      <c r="Z329" s="21"/>
      <c r="AA329" s="138"/>
      <c r="AB329" s="21"/>
    </row>
    <row r="330" spans="1:28" x14ac:dyDescent="0.25">
      <c r="A330" s="21"/>
      <c r="B330" s="18"/>
      <c r="C330" s="85" t="str">
        <f>IF(B330="","",INDEX(Elements!B:B,MATCH(Design!B330,Elements!A:A,0)))</f>
        <v/>
      </c>
      <c r="D330" s="13"/>
      <c r="E330" s="85" t="str">
        <f>IFERROR(IF(D330="","",INDEX(Elements!J:J,MATCH(Design!D330,Elements!I:I,0))),SUBSTITUTE(D330," ",""))</f>
        <v/>
      </c>
      <c r="F330" s="13"/>
      <c r="G330" s="84" t="str">
        <f>IFERROR(IF(F330="","",INDEX(Elements!L:L,MATCH(Design!F330,Elements!K:K,0))),F330)</f>
        <v/>
      </c>
      <c r="H330" s="12"/>
      <c r="I330" s="14"/>
      <c r="J330" s="63" t="str">
        <f t="shared" ca="1" si="69"/>
        <v>columnHeaders</v>
      </c>
      <c r="K330" s="63">
        <f t="shared" ca="1" si="73"/>
        <v>0</v>
      </c>
      <c r="L330" s="63" t="str">
        <f ca="1">IF(K330="fontFamily","fontFamily",IF(K330="fontSize","fontSize",IFERROR(INDEX(Elements!M:M,MATCH(Design!J330&amp;"|"&amp;Design!K330,Elements!N:N,0)),"")))</f>
        <v/>
      </c>
      <c r="M330" s="65" t="str">
        <f ca="1">IF(OR(L330="",L330="fill"),"",MATCH(IF(L330="enumeration",J330&amp;"|"&amp;G330,Design!L330),Elements!N:N,0))</f>
        <v/>
      </c>
      <c r="N330" s="65" t="str">
        <f t="shared" si="65"/>
        <v/>
      </c>
      <c r="O330" s="65" t="str">
        <f ca="1">"Elements!"&amp;INDEX(Elements!H:H,MATCH(Design!J330,Elements!J:J,0))</f>
        <v>Elements!K36:K44</v>
      </c>
      <c r="P330" s="65" t="str">
        <f t="shared" ca="1" si="71"/>
        <v>"</v>
      </c>
      <c r="Q330" s="75" t="str">
        <f t="shared" si="75"/>
        <v/>
      </c>
      <c r="R330" s="5" t="str">
        <f t="shared" si="76"/>
        <v/>
      </c>
      <c r="S330" s="5" t="str">
        <f t="shared" si="74"/>
        <v/>
      </c>
      <c r="T330" s="76" t="str">
        <f t="shared" si="77"/>
        <v/>
      </c>
      <c r="U330" s="5">
        <f t="shared" si="72"/>
        <v>0</v>
      </c>
      <c r="V330" s="5">
        <f t="shared" si="72"/>
        <v>0</v>
      </c>
      <c r="W330" s="77" t="str">
        <f t="shared" si="66"/>
        <v/>
      </c>
      <c r="X330" s="65" t="str">
        <f t="shared" si="67"/>
        <v/>
      </c>
      <c r="Y330" s="78" t="str">
        <f t="shared" si="68"/>
        <v/>
      </c>
      <c r="Z330" s="21"/>
      <c r="AA330" s="138"/>
      <c r="AB330" s="21"/>
    </row>
    <row r="331" spans="1:28" x14ac:dyDescent="0.25">
      <c r="A331" s="21"/>
      <c r="B331" s="18"/>
      <c r="C331" s="85" t="str">
        <f>IF(B331="","",INDEX(Elements!B:B,MATCH(Design!B331,Elements!A:A,0)))</f>
        <v/>
      </c>
      <c r="D331" s="13"/>
      <c r="E331" s="85" t="str">
        <f>IFERROR(IF(D331="","",INDEX(Elements!J:J,MATCH(Design!D331,Elements!I:I,0))),SUBSTITUTE(D331," ",""))</f>
        <v/>
      </c>
      <c r="F331" s="13"/>
      <c r="G331" s="84" t="str">
        <f>IFERROR(IF(F331="","",INDEX(Elements!L:L,MATCH(Design!F331,Elements!K:K,0))),F331)</f>
        <v/>
      </c>
      <c r="H331" s="12"/>
      <c r="I331" s="14"/>
      <c r="J331" s="63" t="str">
        <f t="shared" ca="1" si="69"/>
        <v>columnHeaders</v>
      </c>
      <c r="K331" s="63">
        <f t="shared" ca="1" si="73"/>
        <v>0</v>
      </c>
      <c r="L331" s="63" t="str">
        <f ca="1">IF(K331="fontFamily","fontFamily",IF(K331="fontSize","fontSize",IFERROR(INDEX(Elements!M:M,MATCH(Design!J331&amp;"|"&amp;Design!K331,Elements!N:N,0)),"")))</f>
        <v/>
      </c>
      <c r="M331" s="65" t="str">
        <f ca="1">IF(OR(L331="",L331="fill"),"",MATCH(IF(L331="enumeration",J331&amp;"|"&amp;G331,Design!L331),Elements!N:N,0))</f>
        <v/>
      </c>
      <c r="N331" s="65" t="str">
        <f t="shared" si="65"/>
        <v/>
      </c>
      <c r="O331" s="65" t="str">
        <f ca="1">"Elements!"&amp;INDEX(Elements!H:H,MATCH(Design!J331,Elements!J:J,0))</f>
        <v>Elements!K36:K44</v>
      </c>
      <c r="P331" s="65" t="str">
        <f t="shared" ca="1" si="71"/>
        <v>"</v>
      </c>
      <c r="Q331" s="75" t="str">
        <f t="shared" si="75"/>
        <v/>
      </c>
      <c r="R331" s="5" t="str">
        <f t="shared" si="76"/>
        <v/>
      </c>
      <c r="S331" s="5" t="str">
        <f t="shared" si="74"/>
        <v/>
      </c>
      <c r="T331" s="76" t="str">
        <f t="shared" si="77"/>
        <v/>
      </c>
      <c r="U331" s="5">
        <f t="shared" si="72"/>
        <v>0</v>
      </c>
      <c r="V331" s="5">
        <f t="shared" si="72"/>
        <v>0</v>
      </c>
      <c r="W331" s="77" t="str">
        <f t="shared" si="66"/>
        <v/>
      </c>
      <c r="X331" s="65" t="str">
        <f t="shared" si="67"/>
        <v/>
      </c>
      <c r="Y331" s="78" t="str">
        <f t="shared" si="68"/>
        <v/>
      </c>
      <c r="Z331" s="21"/>
      <c r="AA331" s="138"/>
      <c r="AB331" s="21"/>
    </row>
    <row r="332" spans="1:28" x14ac:dyDescent="0.25">
      <c r="A332" s="21"/>
      <c r="B332" s="18"/>
      <c r="C332" s="85" t="str">
        <f>IF(B332="","",INDEX(Elements!B:B,MATCH(Design!B332,Elements!A:A,0)))</f>
        <v/>
      </c>
      <c r="D332" s="13"/>
      <c r="E332" s="85" t="str">
        <f>IFERROR(IF(D332="","",INDEX(Elements!J:J,MATCH(Design!D332,Elements!I:I,0))),SUBSTITUTE(D332," ",""))</f>
        <v/>
      </c>
      <c r="F332" s="13"/>
      <c r="G332" s="84" t="str">
        <f>IFERROR(IF(F332="","",INDEX(Elements!L:L,MATCH(Design!F332,Elements!K:K,0))),F332)</f>
        <v/>
      </c>
      <c r="H332" s="12"/>
      <c r="I332" s="14"/>
      <c r="J332" s="63" t="str">
        <f t="shared" ca="1" si="69"/>
        <v>columnHeaders</v>
      </c>
      <c r="K332" s="63">
        <f t="shared" ca="1" si="73"/>
        <v>0</v>
      </c>
      <c r="L332" s="63" t="str">
        <f ca="1">IF(K332="fontFamily","fontFamily",IF(K332="fontSize","fontSize",IFERROR(INDEX(Elements!M:M,MATCH(Design!J332&amp;"|"&amp;Design!K332,Elements!N:N,0)),"")))</f>
        <v/>
      </c>
      <c r="M332" s="65" t="str">
        <f ca="1">IF(OR(L332="",L332="fill"),"",MATCH(IF(L332="enumeration",J332&amp;"|"&amp;G332,Design!L332),Elements!N:N,0))</f>
        <v/>
      </c>
      <c r="N332" s="65" t="str">
        <f t="shared" si="65"/>
        <v/>
      </c>
      <c r="O332" s="65" t="str">
        <f ca="1">"Elements!"&amp;INDEX(Elements!H:H,MATCH(Design!J332,Elements!J:J,0))</f>
        <v>Elements!K36:K44</v>
      </c>
      <c r="P332" s="65" t="str">
        <f t="shared" ca="1" si="71"/>
        <v>"</v>
      </c>
      <c r="Q332" s="75" t="str">
        <f t="shared" si="75"/>
        <v/>
      </c>
      <c r="R332" s="5" t="str">
        <f t="shared" si="76"/>
        <v/>
      </c>
      <c r="S332" s="5" t="str">
        <f t="shared" si="74"/>
        <v/>
      </c>
      <c r="T332" s="76" t="str">
        <f t="shared" si="77"/>
        <v/>
      </c>
      <c r="U332" s="5">
        <f t="shared" si="72"/>
        <v>0</v>
      </c>
      <c r="V332" s="5">
        <f t="shared" si="72"/>
        <v>0</v>
      </c>
      <c r="W332" s="77" t="str">
        <f t="shared" si="66"/>
        <v/>
      </c>
      <c r="X332" s="65" t="str">
        <f t="shared" si="67"/>
        <v/>
      </c>
      <c r="Y332" s="78" t="str">
        <f t="shared" si="68"/>
        <v/>
      </c>
      <c r="Z332" s="21"/>
      <c r="AA332" s="138"/>
      <c r="AB332" s="21"/>
    </row>
    <row r="333" spans="1:28" x14ac:dyDescent="0.25">
      <c r="A333" s="21"/>
      <c r="B333" s="18"/>
      <c r="C333" s="85" t="str">
        <f>IF(B333="","",INDEX(Elements!B:B,MATCH(Design!B333,Elements!A:A,0)))</f>
        <v/>
      </c>
      <c r="D333" s="13"/>
      <c r="E333" s="85" t="str">
        <f>IFERROR(IF(D333="","",INDEX(Elements!J:J,MATCH(Design!D333,Elements!I:I,0))),SUBSTITUTE(D333," ",""))</f>
        <v/>
      </c>
      <c r="F333" s="13"/>
      <c r="G333" s="84" t="str">
        <f>IFERROR(IF(F333="","",INDEX(Elements!L:L,MATCH(Design!F333,Elements!K:K,0))),F333)</f>
        <v/>
      </c>
      <c r="H333" s="12"/>
      <c r="I333" s="14"/>
      <c r="J333" s="63" t="str">
        <f t="shared" ca="1" si="69"/>
        <v>columnHeaders</v>
      </c>
      <c r="K333" s="63">
        <f t="shared" ca="1" si="73"/>
        <v>0</v>
      </c>
      <c r="L333" s="63" t="str">
        <f ca="1">IF(K333="fontFamily","fontFamily",IF(K333="fontSize","fontSize",IFERROR(INDEX(Elements!M:M,MATCH(Design!J333&amp;"|"&amp;Design!K333,Elements!N:N,0)),"")))</f>
        <v/>
      </c>
      <c r="M333" s="65" t="str">
        <f ca="1">IF(OR(L333="",L333="fill"),"",MATCH(IF(L333="enumeration",J333&amp;"|"&amp;G333,Design!L333),Elements!N:N,0))</f>
        <v/>
      </c>
      <c r="N333" s="65" t="str">
        <f t="shared" si="65"/>
        <v/>
      </c>
      <c r="O333" s="65" t="str">
        <f ca="1">"Elements!"&amp;INDEX(Elements!H:H,MATCH(Design!J333,Elements!J:J,0))</f>
        <v>Elements!K36:K44</v>
      </c>
      <c r="P333" s="65" t="str">
        <f t="shared" ca="1" si="71"/>
        <v>"</v>
      </c>
      <c r="Q333" s="75" t="str">
        <f t="shared" si="75"/>
        <v/>
      </c>
      <c r="R333" s="5" t="str">
        <f t="shared" si="76"/>
        <v/>
      </c>
      <c r="S333" s="5" t="str">
        <f t="shared" si="74"/>
        <v/>
      </c>
      <c r="T333" s="76" t="str">
        <f t="shared" si="77"/>
        <v/>
      </c>
      <c r="U333" s="5">
        <f t="shared" si="72"/>
        <v>0</v>
      </c>
      <c r="V333" s="5">
        <f t="shared" si="72"/>
        <v>0</v>
      </c>
      <c r="W333" s="77" t="str">
        <f t="shared" si="66"/>
        <v/>
      </c>
      <c r="X333" s="65" t="str">
        <f t="shared" si="67"/>
        <v/>
      </c>
      <c r="Y333" s="78" t="str">
        <f t="shared" si="68"/>
        <v/>
      </c>
      <c r="Z333" s="21"/>
      <c r="AA333" s="138"/>
      <c r="AB333" s="21"/>
    </row>
    <row r="334" spans="1:28" x14ac:dyDescent="0.25">
      <c r="A334" s="21"/>
      <c r="B334" s="18"/>
      <c r="C334" s="85" t="str">
        <f>IF(B334="","",INDEX(Elements!B:B,MATCH(Design!B334,Elements!A:A,0)))</f>
        <v/>
      </c>
      <c r="D334" s="13"/>
      <c r="E334" s="85" t="str">
        <f>IFERROR(IF(D334="","",INDEX(Elements!J:J,MATCH(Design!D334,Elements!I:I,0))),SUBSTITUTE(D334," ",""))</f>
        <v/>
      </c>
      <c r="F334" s="13"/>
      <c r="G334" s="84" t="str">
        <f>IFERROR(IF(F334="","",INDEX(Elements!L:L,MATCH(Design!F334,Elements!K:K,0))),F334)</f>
        <v/>
      </c>
      <c r="H334" s="12"/>
      <c r="I334" s="14"/>
      <c r="J334" s="63" t="str">
        <f t="shared" ca="1" si="69"/>
        <v>columnHeaders</v>
      </c>
      <c r="K334" s="63">
        <f t="shared" ca="1" si="73"/>
        <v>0</v>
      </c>
      <c r="L334" s="63" t="str">
        <f ca="1">IF(K334="fontFamily","fontFamily",IF(K334="fontSize","fontSize",IFERROR(INDEX(Elements!M:M,MATCH(Design!J334&amp;"|"&amp;Design!K334,Elements!N:N,0)),"")))</f>
        <v/>
      </c>
      <c r="M334" s="65" t="str">
        <f ca="1">IF(OR(L334="",L334="fill"),"",MATCH(IF(L334="enumeration",J334&amp;"|"&amp;G334,Design!L334),Elements!N:N,0))</f>
        <v/>
      </c>
      <c r="N334" s="65" t="str">
        <f t="shared" si="65"/>
        <v/>
      </c>
      <c r="O334" s="65" t="str">
        <f ca="1">"Elements!"&amp;INDEX(Elements!H:H,MATCH(Design!J334,Elements!J:J,0))</f>
        <v>Elements!K36:K44</v>
      </c>
      <c r="P334" s="65" t="str">
        <f t="shared" ca="1" si="71"/>
        <v>"</v>
      </c>
      <c r="Q334" s="75" t="str">
        <f t="shared" si="75"/>
        <v/>
      </c>
      <c r="R334" s="5" t="str">
        <f t="shared" si="76"/>
        <v/>
      </c>
      <c r="S334" s="5" t="str">
        <f t="shared" si="74"/>
        <v/>
      </c>
      <c r="T334" s="76" t="str">
        <f t="shared" si="77"/>
        <v/>
      </c>
      <c r="U334" s="5">
        <f t="shared" si="72"/>
        <v>0</v>
      </c>
      <c r="V334" s="5">
        <f t="shared" si="72"/>
        <v>0</v>
      </c>
      <c r="W334" s="77" t="str">
        <f t="shared" si="66"/>
        <v/>
      </c>
      <c r="X334" s="65" t="str">
        <f t="shared" si="67"/>
        <v/>
      </c>
      <c r="Y334" s="78" t="str">
        <f t="shared" si="68"/>
        <v/>
      </c>
      <c r="Z334" s="21"/>
      <c r="AA334" s="138"/>
      <c r="AB334" s="21"/>
    </row>
    <row r="335" spans="1:28" x14ac:dyDescent="0.25">
      <c r="A335" s="21"/>
      <c r="B335" s="18"/>
      <c r="C335" s="85" t="str">
        <f>IF(B335="","",INDEX(Elements!B:B,MATCH(Design!B335,Elements!A:A,0)))</f>
        <v/>
      </c>
      <c r="D335" s="13"/>
      <c r="E335" s="85" t="str">
        <f>IFERROR(IF(D335="","",INDEX(Elements!J:J,MATCH(Design!D335,Elements!I:I,0))),SUBSTITUTE(D335," ",""))</f>
        <v/>
      </c>
      <c r="F335" s="13"/>
      <c r="G335" s="84" t="str">
        <f>IFERROR(IF(F335="","",INDEX(Elements!L:L,MATCH(Design!F335,Elements!K:K,0))),F335)</f>
        <v/>
      </c>
      <c r="H335" s="12"/>
      <c r="I335" s="14"/>
      <c r="J335" s="63" t="str">
        <f t="shared" ca="1" si="69"/>
        <v>columnHeaders</v>
      </c>
      <c r="K335" s="63">
        <f t="shared" ca="1" si="73"/>
        <v>0</v>
      </c>
      <c r="L335" s="63" t="str">
        <f ca="1">IF(K335="fontFamily","fontFamily",IF(K335="fontSize","fontSize",IFERROR(INDEX(Elements!M:M,MATCH(Design!J335&amp;"|"&amp;Design!K335,Elements!N:N,0)),"")))</f>
        <v/>
      </c>
      <c r="M335" s="65" t="str">
        <f ca="1">IF(OR(L335="",L335="fill"),"",MATCH(IF(L335="enumeration",J335&amp;"|"&amp;G335,Design!L335),Elements!N:N,0))</f>
        <v/>
      </c>
      <c r="N335" s="65" t="str">
        <f t="shared" si="65"/>
        <v/>
      </c>
      <c r="O335" s="65" t="str">
        <f ca="1">"Elements!"&amp;INDEX(Elements!H:H,MATCH(Design!J335,Elements!J:J,0))</f>
        <v>Elements!K36:K44</v>
      </c>
      <c r="P335" s="65" t="str">
        <f t="shared" ca="1" si="71"/>
        <v>"</v>
      </c>
      <c r="Q335" s="75" t="str">
        <f t="shared" si="75"/>
        <v/>
      </c>
      <c r="R335" s="5" t="str">
        <f t="shared" si="76"/>
        <v/>
      </c>
      <c r="S335" s="5" t="str">
        <f t="shared" si="74"/>
        <v/>
      </c>
      <c r="T335" s="76" t="str">
        <f t="shared" si="77"/>
        <v/>
      </c>
      <c r="U335" s="5">
        <f t="shared" si="72"/>
        <v>0</v>
      </c>
      <c r="V335" s="5">
        <f t="shared" si="72"/>
        <v>0</v>
      </c>
      <c r="W335" s="77" t="str">
        <f t="shared" si="66"/>
        <v/>
      </c>
      <c r="X335" s="65" t="str">
        <f t="shared" si="67"/>
        <v/>
      </c>
      <c r="Y335" s="78" t="str">
        <f t="shared" si="68"/>
        <v/>
      </c>
      <c r="Z335" s="21"/>
      <c r="AA335" s="138"/>
      <c r="AB335" s="21"/>
    </row>
    <row r="336" spans="1:28" x14ac:dyDescent="0.25">
      <c r="A336" s="21"/>
      <c r="B336" s="18"/>
      <c r="C336" s="85" t="str">
        <f>IF(B336="","",INDEX(Elements!B:B,MATCH(Design!B336,Elements!A:A,0)))</f>
        <v/>
      </c>
      <c r="D336" s="13"/>
      <c r="E336" s="85" t="str">
        <f>IFERROR(IF(D336="","",INDEX(Elements!J:J,MATCH(Design!D336,Elements!I:I,0))),SUBSTITUTE(D336," ",""))</f>
        <v/>
      </c>
      <c r="F336" s="13"/>
      <c r="G336" s="84" t="str">
        <f>IFERROR(IF(F336="","",INDEX(Elements!L:L,MATCH(Design!F336,Elements!K:K,0))),F336)</f>
        <v/>
      </c>
      <c r="H336" s="12"/>
      <c r="I336" s="14"/>
      <c r="J336" s="63" t="str">
        <f t="shared" ca="1" si="69"/>
        <v>columnHeaders</v>
      </c>
      <c r="K336" s="63">
        <f t="shared" ca="1" si="73"/>
        <v>0</v>
      </c>
      <c r="L336" s="63" t="str">
        <f ca="1">IF(K336="fontFamily","fontFamily",IF(K336="fontSize","fontSize",IFERROR(INDEX(Elements!M:M,MATCH(Design!J336&amp;"|"&amp;Design!K336,Elements!N:N,0)),"")))</f>
        <v/>
      </c>
      <c r="M336" s="65" t="str">
        <f ca="1">IF(OR(L336="",L336="fill"),"",MATCH(IF(L336="enumeration",J336&amp;"|"&amp;G336,Design!L336),Elements!N:N,0))</f>
        <v/>
      </c>
      <c r="N336" s="65" t="str">
        <f t="shared" si="65"/>
        <v/>
      </c>
      <c r="O336" s="65" t="str">
        <f ca="1">"Elements!"&amp;INDEX(Elements!H:H,MATCH(Design!J336,Elements!J:J,0))</f>
        <v>Elements!K36:K44</v>
      </c>
      <c r="P336" s="65" t="str">
        <f t="shared" ca="1" si="71"/>
        <v>"</v>
      </c>
      <c r="Q336" s="75" t="str">
        <f t="shared" si="75"/>
        <v/>
      </c>
      <c r="R336" s="5" t="str">
        <f t="shared" si="76"/>
        <v/>
      </c>
      <c r="S336" s="5" t="str">
        <f t="shared" si="74"/>
        <v/>
      </c>
      <c r="T336" s="76" t="str">
        <f t="shared" si="77"/>
        <v/>
      </c>
      <c r="U336" s="5">
        <f t="shared" si="72"/>
        <v>0</v>
      </c>
      <c r="V336" s="5">
        <f t="shared" si="72"/>
        <v>0</v>
      </c>
      <c r="W336" s="77" t="str">
        <f t="shared" si="66"/>
        <v/>
      </c>
      <c r="X336" s="65" t="str">
        <f t="shared" si="67"/>
        <v/>
      </c>
      <c r="Y336" s="78" t="str">
        <f t="shared" si="68"/>
        <v/>
      </c>
      <c r="Z336" s="21"/>
      <c r="AA336" s="138"/>
      <c r="AB336" s="21"/>
    </row>
    <row r="337" spans="1:28" x14ac:dyDescent="0.25">
      <c r="A337" s="21"/>
      <c r="B337" s="18"/>
      <c r="C337" s="85" t="str">
        <f>IF(B337="","",INDEX(Elements!B:B,MATCH(Design!B337,Elements!A:A,0)))</f>
        <v/>
      </c>
      <c r="D337" s="13"/>
      <c r="E337" s="85" t="str">
        <f>IFERROR(IF(D337="","",INDEX(Elements!J:J,MATCH(Design!D337,Elements!I:I,0))),SUBSTITUTE(D337," ",""))</f>
        <v/>
      </c>
      <c r="F337" s="13"/>
      <c r="G337" s="84" t="str">
        <f>IFERROR(IF(F337="","",INDEX(Elements!L:L,MATCH(Design!F337,Elements!K:K,0))),F337)</f>
        <v/>
      </c>
      <c r="H337" s="12"/>
      <c r="I337" s="14"/>
      <c r="J337" s="63" t="str">
        <f t="shared" ca="1" si="69"/>
        <v>columnHeaders</v>
      </c>
      <c r="K337" s="63">
        <f t="shared" ca="1" si="73"/>
        <v>0</v>
      </c>
      <c r="L337" s="63" t="str">
        <f ca="1">IF(K337="fontFamily","fontFamily",IF(K337="fontSize","fontSize",IFERROR(INDEX(Elements!M:M,MATCH(Design!J337&amp;"|"&amp;Design!K337,Elements!N:N,0)),"")))</f>
        <v/>
      </c>
      <c r="M337" s="65" t="str">
        <f ca="1">IF(OR(L337="",L337="fill"),"",MATCH(IF(L337="enumeration",J337&amp;"|"&amp;G337,Design!L337),Elements!N:N,0))</f>
        <v/>
      </c>
      <c r="N337" s="65" t="str">
        <f t="shared" ref="N337:N400" si="78">IF(G337="","",IFERROR(IF(L337="fill","Design!$C$8:$H$9",IF(M337="","Design!$A$1","Elements!O"&amp;M337&amp;":AZ"&amp;M337)),"Design!$A$1"))</f>
        <v/>
      </c>
      <c r="O337" s="65" t="str">
        <f ca="1">"Elements!"&amp;INDEX(Elements!H:H,MATCH(Design!J337,Elements!J:J,0))</f>
        <v>Elements!K36:K44</v>
      </c>
      <c r="P337" s="65" t="str">
        <f t="shared" ca="1" si="71"/>
        <v>"</v>
      </c>
      <c r="Q337" s="75" t="str">
        <f t="shared" si="75"/>
        <v/>
      </c>
      <c r="R337" s="5" t="str">
        <f t="shared" si="76"/>
        <v/>
      </c>
      <c r="S337" s="5" t="str">
        <f t="shared" si="74"/>
        <v/>
      </c>
      <c r="T337" s="76" t="str">
        <f t="shared" si="77"/>
        <v/>
      </c>
      <c r="U337" s="5">
        <f t="shared" si="72"/>
        <v>0</v>
      </c>
      <c r="V337" s="5">
        <f t="shared" si="72"/>
        <v>0</v>
      </c>
      <c r="W337" s="77" t="str">
        <f t="shared" si="66"/>
        <v/>
      </c>
      <c r="X337" s="65" t="str">
        <f t="shared" si="67"/>
        <v/>
      </c>
      <c r="Y337" s="78" t="str">
        <f t="shared" si="68"/>
        <v/>
      </c>
      <c r="Z337" s="21"/>
      <c r="AA337" s="138"/>
      <c r="AB337" s="21"/>
    </row>
    <row r="338" spans="1:28" x14ac:dyDescent="0.25">
      <c r="A338" s="21"/>
      <c r="B338" s="18"/>
      <c r="C338" s="85" t="str">
        <f>IF(B338="","",INDEX(Elements!B:B,MATCH(Design!B338,Elements!A:A,0)))</f>
        <v/>
      </c>
      <c r="D338" s="13"/>
      <c r="E338" s="85" t="str">
        <f>IFERROR(IF(D338="","",INDEX(Elements!J:J,MATCH(Design!D338,Elements!I:I,0))),SUBSTITUTE(D338," ",""))</f>
        <v/>
      </c>
      <c r="F338" s="13"/>
      <c r="G338" s="84" t="str">
        <f>IFERROR(IF(F338="","",INDEX(Elements!L:L,MATCH(Design!F338,Elements!K:K,0))),F338)</f>
        <v/>
      </c>
      <c r="H338" s="12"/>
      <c r="I338" s="14"/>
      <c r="J338" s="63" t="str">
        <f t="shared" ca="1" si="69"/>
        <v>columnHeaders</v>
      </c>
      <c r="K338" s="63">
        <f t="shared" ca="1" si="73"/>
        <v>0</v>
      </c>
      <c r="L338" s="63" t="str">
        <f ca="1">IF(K338="fontFamily","fontFamily",IF(K338="fontSize","fontSize",IFERROR(INDEX(Elements!M:M,MATCH(Design!J338&amp;"|"&amp;Design!K338,Elements!N:N,0)),"")))</f>
        <v/>
      </c>
      <c r="M338" s="65" t="str">
        <f ca="1">IF(OR(L338="",L338="fill"),"",MATCH(IF(L338="enumeration",J338&amp;"|"&amp;G338,Design!L338),Elements!N:N,0))</f>
        <v/>
      </c>
      <c r="N338" s="65" t="str">
        <f t="shared" si="78"/>
        <v/>
      </c>
      <c r="O338" s="65" t="str">
        <f ca="1">"Elements!"&amp;INDEX(Elements!H:H,MATCH(Design!J338,Elements!J:J,0))</f>
        <v>Elements!K36:K44</v>
      </c>
      <c r="P338" s="65" t="str">
        <f t="shared" ca="1" si="71"/>
        <v>"</v>
      </c>
      <c r="Q338" s="75" t="str">
        <f t="shared" si="75"/>
        <v/>
      </c>
      <c r="R338" s="5" t="str">
        <f t="shared" si="76"/>
        <v/>
      </c>
      <c r="S338" s="5" t="str">
        <f t="shared" si="74"/>
        <v/>
      </c>
      <c r="T338" s="76" t="str">
        <f t="shared" si="77"/>
        <v/>
      </c>
      <c r="U338" s="5">
        <f t="shared" si="72"/>
        <v>0</v>
      </c>
      <c r="V338" s="5">
        <f t="shared" si="72"/>
        <v>0</v>
      </c>
      <c r="W338" s="77" t="str">
        <f t="shared" ref="W338:W401" si="79">IF(LEFT(H338,1)&lt;&gt;"#","",HEX2DEC(RIGHT(H338,2)))</f>
        <v/>
      </c>
      <c r="X338" s="65" t="str">
        <f t="shared" ref="X338:X401" si="80">IF(LEFT(H338,1)&lt;&gt;"#","",HEX2DEC(MID(H338,4,2)))</f>
        <v/>
      </c>
      <c r="Y338" s="78" t="str">
        <f t="shared" ref="Y338:Y401" si="81">IF(LEFT(H338,1)&lt;&gt;"#","",HEX2DEC(MID(H338,2,2)))</f>
        <v/>
      </c>
      <c r="Z338" s="21"/>
      <c r="AA338" s="138"/>
      <c r="AB338" s="21"/>
    </row>
    <row r="339" spans="1:28" x14ac:dyDescent="0.25">
      <c r="A339" s="21"/>
      <c r="B339" s="18"/>
      <c r="C339" s="85" t="str">
        <f>IF(B339="","",INDEX(Elements!B:B,MATCH(Design!B339,Elements!A:A,0)))</f>
        <v/>
      </c>
      <c r="D339" s="13"/>
      <c r="E339" s="85" t="str">
        <f>IFERROR(IF(D339="","",INDEX(Elements!J:J,MATCH(Design!D339,Elements!I:I,0))),SUBSTITUTE(D339," ",""))</f>
        <v/>
      </c>
      <c r="F339" s="13"/>
      <c r="G339" s="84" t="str">
        <f>IFERROR(IF(F339="","",INDEX(Elements!L:L,MATCH(Design!F339,Elements!K:K,0))),F339)</f>
        <v/>
      </c>
      <c r="H339" s="12"/>
      <c r="I339" s="14"/>
      <c r="J339" s="63" t="str">
        <f t="shared" ca="1" si="69"/>
        <v>columnHeaders</v>
      </c>
      <c r="K339" s="63">
        <f t="shared" ca="1" si="73"/>
        <v>0</v>
      </c>
      <c r="L339" s="63" t="str">
        <f ca="1">IF(K339="fontFamily","fontFamily",IF(K339="fontSize","fontSize",IFERROR(INDEX(Elements!M:M,MATCH(Design!J339&amp;"|"&amp;Design!K339,Elements!N:N,0)),"")))</f>
        <v/>
      </c>
      <c r="M339" s="65" t="str">
        <f ca="1">IF(OR(L339="",L339="fill"),"",MATCH(IF(L339="enumeration",J339&amp;"|"&amp;G339,Design!L339),Elements!N:N,0))</f>
        <v/>
      </c>
      <c r="N339" s="65" t="str">
        <f t="shared" si="78"/>
        <v/>
      </c>
      <c r="O339" s="65" t="str">
        <f ca="1">"Elements!"&amp;INDEX(Elements!H:H,MATCH(Design!J339,Elements!J:J,0))</f>
        <v>Elements!K36:K44</v>
      </c>
      <c r="P339" s="65" t="str">
        <f t="shared" ca="1" si="71"/>
        <v>"</v>
      </c>
      <c r="Q339" s="75" t="str">
        <f t="shared" si="75"/>
        <v/>
      </c>
      <c r="R339" s="5" t="str">
        <f t="shared" si="76"/>
        <v/>
      </c>
      <c r="S339" s="5" t="str">
        <f t="shared" si="74"/>
        <v/>
      </c>
      <c r="T339" s="76" t="str">
        <f t="shared" si="77"/>
        <v/>
      </c>
      <c r="U339" s="5">
        <f t="shared" si="72"/>
        <v>0</v>
      </c>
      <c r="V339" s="5">
        <f t="shared" si="72"/>
        <v>0</v>
      </c>
      <c r="W339" s="77" t="str">
        <f t="shared" si="79"/>
        <v/>
      </c>
      <c r="X339" s="65" t="str">
        <f t="shared" si="80"/>
        <v/>
      </c>
      <c r="Y339" s="78" t="str">
        <f t="shared" si="81"/>
        <v/>
      </c>
      <c r="Z339" s="21"/>
      <c r="AA339" s="138"/>
      <c r="AB339" s="21"/>
    </row>
    <row r="340" spans="1:28" x14ac:dyDescent="0.25">
      <c r="A340" s="21"/>
      <c r="B340" s="18"/>
      <c r="C340" s="85" t="str">
        <f>IF(B340="","",INDEX(Elements!B:B,MATCH(Design!B340,Elements!A:A,0)))</f>
        <v/>
      </c>
      <c r="D340" s="13"/>
      <c r="E340" s="85" t="str">
        <f>IFERROR(IF(D340="","",INDEX(Elements!J:J,MATCH(Design!D340,Elements!I:I,0))),SUBSTITUTE(D340," ",""))</f>
        <v/>
      </c>
      <c r="F340" s="13"/>
      <c r="G340" s="84" t="str">
        <f>IFERROR(IF(F340="","",INDEX(Elements!L:L,MATCH(Design!F340,Elements!K:K,0))),F340)</f>
        <v/>
      </c>
      <c r="H340" s="12"/>
      <c r="I340" s="14"/>
      <c r="J340" s="63" t="str">
        <f t="shared" ca="1" si="69"/>
        <v>columnHeaders</v>
      </c>
      <c r="K340" s="63">
        <f t="shared" ca="1" si="73"/>
        <v>0</v>
      </c>
      <c r="L340" s="63" t="str">
        <f ca="1">IF(K340="fontFamily","fontFamily",IF(K340="fontSize","fontSize",IFERROR(INDEX(Elements!M:M,MATCH(Design!J340&amp;"|"&amp;Design!K340,Elements!N:N,0)),"")))</f>
        <v/>
      </c>
      <c r="M340" s="65" t="str">
        <f ca="1">IF(OR(L340="",L340="fill"),"",MATCH(IF(L340="enumeration",J340&amp;"|"&amp;G340,Design!L340),Elements!N:N,0))</f>
        <v/>
      </c>
      <c r="N340" s="65" t="str">
        <f t="shared" si="78"/>
        <v/>
      </c>
      <c r="O340" s="65" t="str">
        <f ca="1">"Elements!"&amp;INDEX(Elements!H:H,MATCH(Design!J340,Elements!J:J,0))</f>
        <v>Elements!K36:K44</v>
      </c>
      <c r="P340" s="65" t="str">
        <f t="shared" ca="1" si="71"/>
        <v>"</v>
      </c>
      <c r="Q340" s="75" t="str">
        <f t="shared" si="75"/>
        <v/>
      </c>
      <c r="R340" s="5" t="str">
        <f t="shared" si="76"/>
        <v/>
      </c>
      <c r="S340" s="5" t="str">
        <f t="shared" si="74"/>
        <v/>
      </c>
      <c r="T340" s="76" t="str">
        <f t="shared" si="77"/>
        <v/>
      </c>
      <c r="U340" s="5">
        <f t="shared" si="72"/>
        <v>0</v>
      </c>
      <c r="V340" s="5">
        <f t="shared" si="72"/>
        <v>0</v>
      </c>
      <c r="W340" s="77" t="str">
        <f t="shared" si="79"/>
        <v/>
      </c>
      <c r="X340" s="65" t="str">
        <f t="shared" si="80"/>
        <v/>
      </c>
      <c r="Y340" s="78" t="str">
        <f t="shared" si="81"/>
        <v/>
      </c>
      <c r="Z340" s="21"/>
      <c r="AA340" s="138"/>
      <c r="AB340" s="21"/>
    </row>
    <row r="341" spans="1:28" x14ac:dyDescent="0.25">
      <c r="A341" s="21"/>
      <c r="B341" s="18"/>
      <c r="C341" s="85" t="str">
        <f>IF(B341="","",INDEX(Elements!B:B,MATCH(Design!B341,Elements!A:A,0)))</f>
        <v/>
      </c>
      <c r="D341" s="13"/>
      <c r="E341" s="85" t="str">
        <f>IFERROR(IF(D341="","",INDEX(Elements!J:J,MATCH(Design!D341,Elements!I:I,0))),SUBSTITUTE(D341," ",""))</f>
        <v/>
      </c>
      <c r="F341" s="13"/>
      <c r="G341" s="84" t="str">
        <f>IFERROR(IF(F341="","",INDEX(Elements!L:L,MATCH(Design!F341,Elements!K:K,0))),F341)</f>
        <v/>
      </c>
      <c r="H341" s="12"/>
      <c r="I341" s="14"/>
      <c r="J341" s="63" t="str">
        <f t="shared" ca="1" si="69"/>
        <v>columnHeaders</v>
      </c>
      <c r="K341" s="63">
        <f t="shared" ca="1" si="73"/>
        <v>0</v>
      </c>
      <c r="L341" s="63" t="str">
        <f ca="1">IF(K341="fontFamily","fontFamily",IF(K341="fontSize","fontSize",IFERROR(INDEX(Elements!M:M,MATCH(Design!J341&amp;"|"&amp;Design!K341,Elements!N:N,0)),"")))</f>
        <v/>
      </c>
      <c r="M341" s="65" t="str">
        <f ca="1">IF(OR(L341="",L341="fill"),"",MATCH(IF(L341="enumeration",J341&amp;"|"&amp;G341,Design!L341),Elements!N:N,0))</f>
        <v/>
      </c>
      <c r="N341" s="65" t="str">
        <f t="shared" si="78"/>
        <v/>
      </c>
      <c r="O341" s="65" t="str">
        <f ca="1">"Elements!"&amp;INDEX(Elements!H:H,MATCH(Design!J341,Elements!J:J,0))</f>
        <v>Elements!K36:K44</v>
      </c>
      <c r="P341" s="65" t="str">
        <f t="shared" ca="1" si="71"/>
        <v>"</v>
      </c>
      <c r="Q341" s="75" t="str">
        <f t="shared" si="75"/>
        <v/>
      </c>
      <c r="R341" s="5" t="str">
        <f t="shared" si="76"/>
        <v/>
      </c>
      <c r="S341" s="5" t="str">
        <f t="shared" si="74"/>
        <v/>
      </c>
      <c r="T341" s="76" t="str">
        <f t="shared" si="77"/>
        <v/>
      </c>
      <c r="U341" s="5">
        <f t="shared" si="72"/>
        <v>0</v>
      </c>
      <c r="V341" s="5">
        <f t="shared" si="72"/>
        <v>0</v>
      </c>
      <c r="W341" s="77" t="str">
        <f t="shared" si="79"/>
        <v/>
      </c>
      <c r="X341" s="65" t="str">
        <f t="shared" si="80"/>
        <v/>
      </c>
      <c r="Y341" s="78" t="str">
        <f t="shared" si="81"/>
        <v/>
      </c>
      <c r="Z341" s="21"/>
      <c r="AA341" s="138"/>
      <c r="AB341" s="21"/>
    </row>
    <row r="342" spans="1:28" x14ac:dyDescent="0.25">
      <c r="A342" s="21"/>
      <c r="B342" s="18"/>
      <c r="C342" s="85" t="str">
        <f>IF(B342="","",INDEX(Elements!B:B,MATCH(Design!B342,Elements!A:A,0)))</f>
        <v/>
      </c>
      <c r="D342" s="13"/>
      <c r="E342" s="85" t="str">
        <f>IFERROR(IF(D342="","",INDEX(Elements!J:J,MATCH(Design!D342,Elements!I:I,0))),SUBSTITUTE(D342," ",""))</f>
        <v/>
      </c>
      <c r="F342" s="13"/>
      <c r="G342" s="84" t="str">
        <f>IFERROR(IF(F342="","",INDEX(Elements!L:L,MATCH(Design!F342,Elements!K:K,0))),F342)</f>
        <v/>
      </c>
      <c r="H342" s="12"/>
      <c r="I342" s="14"/>
      <c r="J342" s="63" t="str">
        <f t="shared" ca="1" si="69"/>
        <v>columnHeaders</v>
      </c>
      <c r="K342" s="63">
        <f t="shared" ca="1" si="73"/>
        <v>0</v>
      </c>
      <c r="L342" s="63" t="str">
        <f ca="1">IF(K342="fontFamily","fontFamily",IF(K342="fontSize","fontSize",IFERROR(INDEX(Elements!M:M,MATCH(Design!J342&amp;"|"&amp;Design!K342,Elements!N:N,0)),"")))</f>
        <v/>
      </c>
      <c r="M342" s="65" t="str">
        <f ca="1">IF(OR(L342="",L342="fill"),"",MATCH(IF(L342="enumeration",J342&amp;"|"&amp;G342,Design!L342),Elements!N:N,0))</f>
        <v/>
      </c>
      <c r="N342" s="65" t="str">
        <f t="shared" si="78"/>
        <v/>
      </c>
      <c r="O342" s="65" t="str">
        <f ca="1">"Elements!"&amp;INDEX(Elements!H:H,MATCH(Design!J342,Elements!J:J,0))</f>
        <v>Elements!K36:K44</v>
      </c>
      <c r="P342" s="65" t="str">
        <f t="shared" ca="1" si="71"/>
        <v>"</v>
      </c>
      <c r="Q342" s="75" t="str">
        <f t="shared" si="75"/>
        <v/>
      </c>
      <c r="R342" s="5" t="str">
        <f t="shared" si="76"/>
        <v/>
      </c>
      <c r="S342" s="5" t="str">
        <f t="shared" si="74"/>
        <v/>
      </c>
      <c r="T342" s="76" t="str">
        <f t="shared" si="77"/>
        <v/>
      </c>
      <c r="U342" s="5">
        <f t="shared" si="72"/>
        <v>0</v>
      </c>
      <c r="V342" s="5">
        <f t="shared" si="72"/>
        <v>0</v>
      </c>
      <c r="W342" s="77" t="str">
        <f t="shared" si="79"/>
        <v/>
      </c>
      <c r="X342" s="65" t="str">
        <f t="shared" si="80"/>
        <v/>
      </c>
      <c r="Y342" s="78" t="str">
        <f t="shared" si="81"/>
        <v/>
      </c>
      <c r="Z342" s="21"/>
      <c r="AA342" s="138"/>
      <c r="AB342" s="21"/>
    </row>
    <row r="343" spans="1:28" x14ac:dyDescent="0.25">
      <c r="A343" s="21"/>
      <c r="B343" s="18"/>
      <c r="C343" s="85" t="str">
        <f>IF(B343="","",INDEX(Elements!B:B,MATCH(Design!B343,Elements!A:A,0)))</f>
        <v/>
      </c>
      <c r="D343" s="13"/>
      <c r="E343" s="85" t="str">
        <f>IFERROR(IF(D343="","",INDEX(Elements!J:J,MATCH(Design!D343,Elements!I:I,0))),SUBSTITUTE(D343," ",""))</f>
        <v/>
      </c>
      <c r="F343" s="13"/>
      <c r="G343" s="84" t="str">
        <f>IFERROR(IF(F343="","",INDEX(Elements!L:L,MATCH(Design!F343,Elements!K:K,0))),F343)</f>
        <v/>
      </c>
      <c r="H343" s="12"/>
      <c r="I343" s="14"/>
      <c r="J343" s="63" t="str">
        <f t="shared" ref="J343:J409" ca="1" si="82">IF(E343="",INDIRECT("J"&amp;ROW()-1),E343)</f>
        <v>columnHeaders</v>
      </c>
      <c r="K343" s="63">
        <f t="shared" ca="1" si="73"/>
        <v>0</v>
      </c>
      <c r="L343" s="63" t="str">
        <f ca="1">IF(K343="fontFamily","fontFamily",IF(K343="fontSize","fontSize",IFERROR(INDEX(Elements!M:M,MATCH(Design!J343&amp;"|"&amp;Design!K343,Elements!N:N,0)),"")))</f>
        <v/>
      </c>
      <c r="M343" s="65" t="str">
        <f ca="1">IF(OR(L343="",L343="fill"),"",MATCH(IF(L343="enumeration",J343&amp;"|"&amp;G343,Design!L343),Elements!N:N,0))</f>
        <v/>
      </c>
      <c r="N343" s="65" t="str">
        <f t="shared" si="78"/>
        <v/>
      </c>
      <c r="O343" s="65" t="str">
        <f ca="1">"Elements!"&amp;INDEX(Elements!H:H,MATCH(Design!J343,Elements!J:J,0))</f>
        <v>Elements!K36:K44</v>
      </c>
      <c r="P343" s="65" t="str">
        <f t="shared" ca="1" si="71"/>
        <v>"</v>
      </c>
      <c r="Q343" s="75" t="str">
        <f t="shared" si="75"/>
        <v/>
      </c>
      <c r="R343" s="5" t="str">
        <f t="shared" si="76"/>
        <v/>
      </c>
      <c r="S343" s="5" t="str">
        <f t="shared" si="74"/>
        <v/>
      </c>
      <c r="T343" s="76" t="str">
        <f t="shared" si="77"/>
        <v/>
      </c>
      <c r="U343" s="5">
        <f t="shared" si="72"/>
        <v>0</v>
      </c>
      <c r="V343" s="5">
        <f t="shared" si="72"/>
        <v>0</v>
      </c>
      <c r="W343" s="77" t="str">
        <f t="shared" si="79"/>
        <v/>
      </c>
      <c r="X343" s="65" t="str">
        <f t="shared" si="80"/>
        <v/>
      </c>
      <c r="Y343" s="78" t="str">
        <f t="shared" si="81"/>
        <v/>
      </c>
      <c r="Z343" s="21"/>
      <c r="AA343" s="138"/>
      <c r="AB343" s="21"/>
    </row>
    <row r="344" spans="1:28" x14ac:dyDescent="0.25">
      <c r="A344" s="21"/>
      <c r="B344" s="18"/>
      <c r="C344" s="85" t="str">
        <f>IF(B344="","",INDEX(Elements!B:B,MATCH(Design!B344,Elements!A:A,0)))</f>
        <v/>
      </c>
      <c r="D344" s="13"/>
      <c r="E344" s="85" t="str">
        <f>IFERROR(IF(D344="","",INDEX(Elements!J:J,MATCH(Design!D344,Elements!I:I,0))),SUBSTITUTE(D344," ",""))</f>
        <v/>
      </c>
      <c r="F344" s="13"/>
      <c r="G344" s="84" t="str">
        <f>IFERROR(IF(F344="","",INDEX(Elements!L:L,MATCH(Design!F344,Elements!K:K,0))),F344)</f>
        <v/>
      </c>
      <c r="H344" s="12"/>
      <c r="I344" s="14"/>
      <c r="J344" s="63" t="str">
        <f t="shared" ca="1" si="82"/>
        <v>columnHeaders</v>
      </c>
      <c r="K344" s="63">
        <f t="shared" ca="1" si="73"/>
        <v>0</v>
      </c>
      <c r="L344" s="63" t="str">
        <f ca="1">IF(K344="fontFamily","fontFamily",IF(K344="fontSize","fontSize",IFERROR(INDEX(Elements!M:M,MATCH(Design!J344&amp;"|"&amp;Design!K344,Elements!N:N,0)),"")))</f>
        <v/>
      </c>
      <c r="M344" s="65" t="str">
        <f ca="1">IF(OR(L344="",L344="fill"),"",MATCH(IF(L344="enumeration",J344&amp;"|"&amp;G344,Design!L344),Elements!N:N,0))</f>
        <v/>
      </c>
      <c r="N344" s="65" t="str">
        <f t="shared" si="78"/>
        <v/>
      </c>
      <c r="O344" s="65" t="str">
        <f ca="1">"Elements!"&amp;INDEX(Elements!H:H,MATCH(Design!J344,Elements!J:J,0))</f>
        <v>Elements!K36:K44</v>
      </c>
      <c r="P344" s="65" t="str">
        <f t="shared" ca="1" si="71"/>
        <v>"</v>
      </c>
      <c r="Q344" s="75" t="str">
        <f t="shared" si="75"/>
        <v/>
      </c>
      <c r="R344" s="5" t="str">
        <f t="shared" si="76"/>
        <v/>
      </c>
      <c r="S344" s="5" t="str">
        <f t="shared" si="74"/>
        <v/>
      </c>
      <c r="T344" s="76" t="str">
        <f t="shared" si="77"/>
        <v/>
      </c>
      <c r="U344" s="5">
        <f t="shared" ref="U344:V375" si="83">SUMPRODUCT(LEN($T344)-LEN(SUBSTITUTE($T344,U$2,"")))</f>
        <v>0</v>
      </c>
      <c r="V344" s="5">
        <f t="shared" si="83"/>
        <v>0</v>
      </c>
      <c r="W344" s="77" t="str">
        <f t="shared" si="79"/>
        <v/>
      </c>
      <c r="X344" s="65" t="str">
        <f t="shared" si="80"/>
        <v/>
      </c>
      <c r="Y344" s="78" t="str">
        <f t="shared" si="81"/>
        <v/>
      </c>
      <c r="Z344" s="21"/>
      <c r="AA344" s="138"/>
      <c r="AB344" s="21"/>
    </row>
    <row r="345" spans="1:28" x14ac:dyDescent="0.25">
      <c r="A345" s="21"/>
      <c r="B345" s="18"/>
      <c r="C345" s="85" t="str">
        <f>IF(B345="","",INDEX(Elements!B:B,MATCH(Design!B345,Elements!A:A,0)))</f>
        <v/>
      </c>
      <c r="D345" s="13"/>
      <c r="E345" s="85" t="str">
        <f>IFERROR(IF(D345="","",INDEX(Elements!J:J,MATCH(Design!D345,Elements!I:I,0))),SUBSTITUTE(D345," ",""))</f>
        <v/>
      </c>
      <c r="F345" s="13"/>
      <c r="G345" s="84" t="str">
        <f>IFERROR(IF(F345="","",INDEX(Elements!L:L,MATCH(Design!F345,Elements!K:K,0))),F345)</f>
        <v/>
      </c>
      <c r="H345" s="12"/>
      <c r="I345" s="14"/>
      <c r="J345" s="63" t="str">
        <f t="shared" ca="1" si="82"/>
        <v>columnHeaders</v>
      </c>
      <c r="K345" s="63">
        <f t="shared" ca="1" si="73"/>
        <v>0</v>
      </c>
      <c r="L345" s="63" t="str">
        <f ca="1">IF(K345="fontFamily","fontFamily",IF(K345="fontSize","fontSize",IFERROR(INDEX(Elements!M:M,MATCH(Design!J345&amp;"|"&amp;Design!K345,Elements!N:N,0)),"")))</f>
        <v/>
      </c>
      <c r="M345" s="65" t="str">
        <f ca="1">IF(OR(L345="",L345="fill"),"",MATCH(IF(L345="enumeration",J345&amp;"|"&amp;G345,Design!L345),Elements!N:N,0))</f>
        <v/>
      </c>
      <c r="N345" s="65" t="str">
        <f t="shared" si="78"/>
        <v/>
      </c>
      <c r="O345" s="65" t="str">
        <f ca="1">"Elements!"&amp;INDEX(Elements!H:H,MATCH(Design!J345,Elements!J:J,0))</f>
        <v>Elements!K36:K44</v>
      </c>
      <c r="P345" s="65" t="str">
        <f t="shared" ref="P345:P409" ca="1" si="84">IF(OR(L345="bool",L345="numeric",L345="formatting"),"",CHAR(34))</f>
        <v>"</v>
      </c>
      <c r="Q345" s="75" t="str">
        <f t="shared" si="75"/>
        <v/>
      </c>
      <c r="R345" s="5" t="str">
        <f t="shared" si="76"/>
        <v/>
      </c>
      <c r="S345" s="5" t="str">
        <f t="shared" si="74"/>
        <v/>
      </c>
      <c r="T345" s="76" t="str">
        <f t="shared" si="77"/>
        <v/>
      </c>
      <c r="U345" s="5">
        <f t="shared" si="83"/>
        <v>0</v>
      </c>
      <c r="V345" s="5">
        <f t="shared" si="83"/>
        <v>0</v>
      </c>
      <c r="W345" s="77" t="str">
        <f t="shared" si="79"/>
        <v/>
      </c>
      <c r="X345" s="65" t="str">
        <f t="shared" si="80"/>
        <v/>
      </c>
      <c r="Y345" s="78" t="str">
        <f t="shared" si="81"/>
        <v/>
      </c>
      <c r="Z345" s="21"/>
      <c r="AA345" s="138"/>
      <c r="AB345" s="21"/>
    </row>
    <row r="346" spans="1:28" x14ac:dyDescent="0.25">
      <c r="A346" s="21"/>
      <c r="B346" s="18"/>
      <c r="C346" s="85" t="str">
        <f>IF(B346="","",INDEX(Elements!B:B,MATCH(Design!B346,Elements!A:A,0)))</f>
        <v/>
      </c>
      <c r="D346" s="13"/>
      <c r="E346" s="85" t="str">
        <f>IFERROR(IF(D346="","",INDEX(Elements!J:J,MATCH(Design!D346,Elements!I:I,0))),SUBSTITUTE(D346," ",""))</f>
        <v/>
      </c>
      <c r="F346" s="13"/>
      <c r="G346" s="84" t="str">
        <f>IFERROR(IF(F346="","",INDEX(Elements!L:L,MATCH(Design!F346,Elements!K:K,0))),F346)</f>
        <v/>
      </c>
      <c r="H346" s="12"/>
      <c r="I346" s="14"/>
      <c r="J346" s="63" t="str">
        <f t="shared" ca="1" si="82"/>
        <v>columnHeaders</v>
      </c>
      <c r="K346" s="63">
        <f t="shared" ca="1" si="73"/>
        <v>0</v>
      </c>
      <c r="L346" s="63" t="str">
        <f ca="1">IF(K346="fontFamily","fontFamily",IF(K346="fontSize","fontSize",IFERROR(INDEX(Elements!M:M,MATCH(Design!J346&amp;"|"&amp;Design!K346,Elements!N:N,0)),"")))</f>
        <v/>
      </c>
      <c r="M346" s="65" t="str">
        <f ca="1">IF(OR(L346="",L346="fill"),"",MATCH(IF(L346="enumeration",J346&amp;"|"&amp;G346,Design!L346),Elements!N:N,0))</f>
        <v/>
      </c>
      <c r="N346" s="65" t="str">
        <f t="shared" si="78"/>
        <v/>
      </c>
      <c r="O346" s="65" t="str">
        <f ca="1">"Elements!"&amp;INDEX(Elements!H:H,MATCH(Design!J346,Elements!J:J,0))</f>
        <v>Elements!K36:K44</v>
      </c>
      <c r="P346" s="65" t="str">
        <f t="shared" ca="1" si="84"/>
        <v>"</v>
      </c>
      <c r="Q346" s="75" t="str">
        <f t="shared" si="75"/>
        <v/>
      </c>
      <c r="R346" s="5" t="str">
        <f t="shared" si="76"/>
        <v/>
      </c>
      <c r="S346" s="5" t="str">
        <f t="shared" si="74"/>
        <v/>
      </c>
      <c r="T346" s="76" t="str">
        <f t="shared" si="77"/>
        <v/>
      </c>
      <c r="U346" s="5">
        <f t="shared" si="83"/>
        <v>0</v>
      </c>
      <c r="V346" s="5">
        <f t="shared" si="83"/>
        <v>0</v>
      </c>
      <c r="W346" s="77" t="str">
        <f t="shared" si="79"/>
        <v/>
      </c>
      <c r="X346" s="65" t="str">
        <f t="shared" si="80"/>
        <v/>
      </c>
      <c r="Y346" s="78" t="str">
        <f t="shared" si="81"/>
        <v/>
      </c>
      <c r="Z346" s="21"/>
      <c r="AA346" s="138"/>
      <c r="AB346" s="21"/>
    </row>
    <row r="347" spans="1:28" x14ac:dyDescent="0.25">
      <c r="A347" s="21"/>
      <c r="B347" s="18"/>
      <c r="C347" s="85" t="str">
        <f>IF(B347="","",INDEX(Elements!B:B,MATCH(Design!B347,Elements!A:A,0)))</f>
        <v/>
      </c>
      <c r="D347" s="13"/>
      <c r="E347" s="85" t="str">
        <f>IFERROR(IF(D347="","",INDEX(Elements!J:J,MATCH(Design!D347,Elements!I:I,0))),SUBSTITUTE(D347," ",""))</f>
        <v/>
      </c>
      <c r="F347" s="13"/>
      <c r="G347" s="84" t="str">
        <f>IFERROR(IF(F347="","",INDEX(Elements!L:L,MATCH(Design!F347,Elements!K:K,0))),F347)</f>
        <v/>
      </c>
      <c r="H347" s="12"/>
      <c r="I347" s="14"/>
      <c r="J347" s="63" t="str">
        <f t="shared" ca="1" si="82"/>
        <v>columnHeaders</v>
      </c>
      <c r="K347" s="63">
        <f t="shared" ca="1" si="73"/>
        <v>0</v>
      </c>
      <c r="L347" s="63" t="str">
        <f ca="1">IF(K347="fontFamily","fontFamily",IF(K347="fontSize","fontSize",IFERROR(INDEX(Elements!M:M,MATCH(Design!J347&amp;"|"&amp;Design!K347,Elements!N:N,0)),"")))</f>
        <v/>
      </c>
      <c r="M347" s="65" t="str">
        <f ca="1">IF(OR(L347="",L347="fill"),"",MATCH(IF(L347="enumeration",J347&amp;"|"&amp;G347,Design!L347),Elements!N:N,0))</f>
        <v/>
      </c>
      <c r="N347" s="65" t="str">
        <f t="shared" si="78"/>
        <v/>
      </c>
      <c r="O347" s="65" t="str">
        <f ca="1">"Elements!"&amp;INDEX(Elements!H:H,MATCH(Design!J347,Elements!J:J,0))</f>
        <v>Elements!K36:K44</v>
      </c>
      <c r="P347" s="65" t="str">
        <f t="shared" ca="1" si="84"/>
        <v>"</v>
      </c>
      <c r="Q347" s="75" t="str">
        <f t="shared" si="75"/>
        <v/>
      </c>
      <c r="R347" s="5" t="str">
        <f t="shared" si="76"/>
        <v/>
      </c>
      <c r="S347" s="5" t="str">
        <f t="shared" si="74"/>
        <v/>
      </c>
      <c r="T347" s="76" t="str">
        <f t="shared" si="77"/>
        <v/>
      </c>
      <c r="U347" s="5">
        <f t="shared" si="83"/>
        <v>0</v>
      </c>
      <c r="V347" s="5">
        <f t="shared" si="83"/>
        <v>0</v>
      </c>
      <c r="W347" s="77" t="str">
        <f t="shared" si="79"/>
        <v/>
      </c>
      <c r="X347" s="65" t="str">
        <f t="shared" si="80"/>
        <v/>
      </c>
      <c r="Y347" s="78" t="str">
        <f t="shared" si="81"/>
        <v/>
      </c>
      <c r="Z347" s="21"/>
      <c r="AA347" s="138"/>
      <c r="AB347" s="21"/>
    </row>
    <row r="348" spans="1:28" x14ac:dyDescent="0.25">
      <c r="A348" s="21"/>
      <c r="B348" s="18"/>
      <c r="C348" s="85" t="str">
        <f>IF(B348="","",INDEX(Elements!B:B,MATCH(Design!B348,Elements!A:A,0)))</f>
        <v/>
      </c>
      <c r="D348" s="13"/>
      <c r="E348" s="85" t="str">
        <f>IFERROR(IF(D348="","",INDEX(Elements!J:J,MATCH(Design!D348,Elements!I:I,0))),SUBSTITUTE(D348," ",""))</f>
        <v/>
      </c>
      <c r="F348" s="13"/>
      <c r="G348" s="84" t="str">
        <f>IFERROR(IF(F348="","",INDEX(Elements!L:L,MATCH(Design!F348,Elements!K:K,0))),F348)</f>
        <v/>
      </c>
      <c r="H348" s="12"/>
      <c r="I348" s="14"/>
      <c r="J348" s="63" t="str">
        <f t="shared" ca="1" si="82"/>
        <v>columnHeaders</v>
      </c>
      <c r="K348" s="63">
        <f t="shared" ca="1" si="73"/>
        <v>0</v>
      </c>
      <c r="L348" s="63" t="str">
        <f ca="1">IF(K348="fontFamily","fontFamily",IF(K348="fontSize","fontSize",IFERROR(INDEX(Elements!M:M,MATCH(Design!J348&amp;"|"&amp;Design!K348,Elements!N:N,0)),"")))</f>
        <v/>
      </c>
      <c r="M348" s="65" t="str">
        <f ca="1">IF(OR(L348="",L348="fill"),"",MATCH(IF(L348="enumeration",J348&amp;"|"&amp;G348,Design!L348),Elements!N:N,0))</f>
        <v/>
      </c>
      <c r="N348" s="65" t="str">
        <f t="shared" si="78"/>
        <v/>
      </c>
      <c r="O348" s="65" t="str">
        <f ca="1">"Elements!"&amp;INDEX(Elements!H:H,MATCH(Design!J348,Elements!J:J,0))</f>
        <v>Elements!K36:K44</v>
      </c>
      <c r="P348" s="65" t="str">
        <f t="shared" ca="1" si="84"/>
        <v>"</v>
      </c>
      <c r="Q348" s="75" t="str">
        <f t="shared" si="75"/>
        <v/>
      </c>
      <c r="R348" s="5" t="str">
        <f t="shared" si="76"/>
        <v/>
      </c>
      <c r="S348" s="5" t="str">
        <f t="shared" si="74"/>
        <v/>
      </c>
      <c r="T348" s="76" t="str">
        <f t="shared" si="77"/>
        <v/>
      </c>
      <c r="U348" s="5">
        <f t="shared" si="83"/>
        <v>0</v>
      </c>
      <c r="V348" s="5">
        <f t="shared" si="83"/>
        <v>0</v>
      </c>
      <c r="W348" s="77" t="str">
        <f t="shared" si="79"/>
        <v/>
      </c>
      <c r="X348" s="65" t="str">
        <f t="shared" si="80"/>
        <v/>
      </c>
      <c r="Y348" s="78" t="str">
        <f t="shared" si="81"/>
        <v/>
      </c>
      <c r="Z348" s="21"/>
      <c r="AA348" s="138"/>
      <c r="AB348" s="21"/>
    </row>
    <row r="349" spans="1:28" x14ac:dyDescent="0.25">
      <c r="A349" s="21"/>
      <c r="B349" s="18"/>
      <c r="C349" s="85" t="str">
        <f>IF(B349="","",INDEX(Elements!B:B,MATCH(Design!B349,Elements!A:A,0)))</f>
        <v/>
      </c>
      <c r="D349" s="13"/>
      <c r="E349" s="85" t="str">
        <f>IFERROR(IF(D349="","",INDEX(Elements!J:J,MATCH(Design!D349,Elements!I:I,0))),SUBSTITUTE(D349," ",""))</f>
        <v/>
      </c>
      <c r="F349" s="13"/>
      <c r="G349" s="84" t="str">
        <f>IFERROR(IF(F349="","",INDEX(Elements!L:L,MATCH(Design!F349,Elements!K:K,0))),F349)</f>
        <v/>
      </c>
      <c r="H349" s="12"/>
      <c r="I349" s="14"/>
      <c r="J349" s="63" t="str">
        <f t="shared" ca="1" si="82"/>
        <v>columnHeaders</v>
      </c>
      <c r="K349" s="63">
        <f t="shared" ca="1" si="73"/>
        <v>0</v>
      </c>
      <c r="L349" s="63" t="str">
        <f ca="1">IF(K349="fontFamily","fontFamily",IF(K349="fontSize","fontSize",IFERROR(INDEX(Elements!M:M,MATCH(Design!J349&amp;"|"&amp;Design!K349,Elements!N:N,0)),"")))</f>
        <v/>
      </c>
      <c r="M349" s="65" t="str">
        <f ca="1">IF(OR(L349="",L349="fill"),"",MATCH(IF(L349="enumeration",J349&amp;"|"&amp;G349,Design!L349),Elements!N:N,0))</f>
        <v/>
      </c>
      <c r="N349" s="65" t="str">
        <f t="shared" si="78"/>
        <v/>
      </c>
      <c r="O349" s="65" t="str">
        <f ca="1">"Elements!"&amp;INDEX(Elements!H:H,MATCH(Design!J349,Elements!J:J,0))</f>
        <v>Elements!K36:K44</v>
      </c>
      <c r="P349" s="65" t="str">
        <f t="shared" ca="1" si="84"/>
        <v>"</v>
      </c>
      <c r="Q349" s="75" t="str">
        <f t="shared" si="75"/>
        <v/>
      </c>
      <c r="R349" s="5" t="str">
        <f t="shared" si="76"/>
        <v/>
      </c>
      <c r="S349" s="5" t="str">
        <f t="shared" si="74"/>
        <v/>
      </c>
      <c r="T349" s="76" t="str">
        <f t="shared" si="77"/>
        <v/>
      </c>
      <c r="U349" s="5">
        <f t="shared" si="83"/>
        <v>0</v>
      </c>
      <c r="V349" s="5">
        <f t="shared" si="83"/>
        <v>0</v>
      </c>
      <c r="W349" s="77" t="str">
        <f t="shared" si="79"/>
        <v/>
      </c>
      <c r="X349" s="65" t="str">
        <f t="shared" si="80"/>
        <v/>
      </c>
      <c r="Y349" s="78" t="str">
        <f t="shared" si="81"/>
        <v/>
      </c>
      <c r="Z349" s="21"/>
      <c r="AA349" s="138"/>
      <c r="AB349" s="21"/>
    </row>
    <row r="350" spans="1:28" x14ac:dyDescent="0.25">
      <c r="A350" s="21"/>
      <c r="B350" s="18"/>
      <c r="C350" s="85" t="str">
        <f>IF(B350="","",INDEX(Elements!B:B,MATCH(Design!B350,Elements!A:A,0)))</f>
        <v/>
      </c>
      <c r="D350" s="13"/>
      <c r="E350" s="85" t="str">
        <f>IFERROR(IF(D350="","",INDEX(Elements!J:J,MATCH(Design!D350,Elements!I:I,0))),SUBSTITUTE(D350," ",""))</f>
        <v/>
      </c>
      <c r="F350" s="13"/>
      <c r="G350" s="84" t="str">
        <f>IFERROR(IF(F350="","",INDEX(Elements!L:L,MATCH(Design!F350,Elements!K:K,0))),F350)</f>
        <v/>
      </c>
      <c r="H350" s="12"/>
      <c r="I350" s="14"/>
      <c r="J350" s="63" t="str">
        <f t="shared" ca="1" si="82"/>
        <v>columnHeaders</v>
      </c>
      <c r="K350" s="63">
        <f t="shared" ca="1" si="73"/>
        <v>0</v>
      </c>
      <c r="L350" s="63" t="str">
        <f ca="1">IF(K350="fontFamily","fontFamily",IF(K350="fontSize","fontSize",IFERROR(INDEX(Elements!M:M,MATCH(Design!J350&amp;"|"&amp;Design!K350,Elements!N:N,0)),"")))</f>
        <v/>
      </c>
      <c r="M350" s="65" t="str">
        <f ca="1">IF(OR(L350="",L350="fill"),"",MATCH(IF(L350="enumeration",J350&amp;"|"&amp;G350,Design!L350),Elements!N:N,0))</f>
        <v/>
      </c>
      <c r="N350" s="65" t="str">
        <f t="shared" si="78"/>
        <v/>
      </c>
      <c r="O350" s="65" t="str">
        <f ca="1">"Elements!"&amp;INDEX(Elements!H:H,MATCH(Design!J350,Elements!J:J,0))</f>
        <v>Elements!K36:K44</v>
      </c>
      <c r="P350" s="65" t="str">
        <f t="shared" ca="1" si="84"/>
        <v>"</v>
      </c>
      <c r="Q350" s="75" t="str">
        <f t="shared" si="75"/>
        <v/>
      </c>
      <c r="R350" s="5" t="str">
        <f t="shared" si="76"/>
        <v/>
      </c>
      <c r="S350" s="5" t="str">
        <f t="shared" si="74"/>
        <v/>
      </c>
      <c r="T350" s="76" t="str">
        <f t="shared" si="77"/>
        <v/>
      </c>
      <c r="U350" s="5">
        <f t="shared" si="83"/>
        <v>0</v>
      </c>
      <c r="V350" s="5">
        <f t="shared" si="83"/>
        <v>0</v>
      </c>
      <c r="W350" s="77" t="str">
        <f t="shared" si="79"/>
        <v/>
      </c>
      <c r="X350" s="65" t="str">
        <f t="shared" si="80"/>
        <v/>
      </c>
      <c r="Y350" s="78" t="str">
        <f t="shared" si="81"/>
        <v/>
      </c>
      <c r="Z350" s="21"/>
      <c r="AA350" s="138"/>
      <c r="AB350" s="21"/>
    </row>
    <row r="351" spans="1:28" x14ac:dyDescent="0.25">
      <c r="A351" s="21"/>
      <c r="B351" s="18"/>
      <c r="C351" s="85" t="str">
        <f>IF(B351="","",INDEX(Elements!B:B,MATCH(Design!B351,Elements!A:A,0)))</f>
        <v/>
      </c>
      <c r="D351" s="13"/>
      <c r="E351" s="85" t="str">
        <f>IFERROR(IF(D351="","",INDEX(Elements!J:J,MATCH(Design!D351,Elements!I:I,0))),SUBSTITUTE(D351," ",""))</f>
        <v/>
      </c>
      <c r="F351" s="13"/>
      <c r="G351" s="84" t="str">
        <f>IFERROR(IF(F351="","",INDEX(Elements!L:L,MATCH(Design!F351,Elements!K:K,0))),F351)</f>
        <v/>
      </c>
      <c r="H351" s="12"/>
      <c r="I351" s="14"/>
      <c r="J351" s="63" t="str">
        <f t="shared" ca="1" si="82"/>
        <v>columnHeaders</v>
      </c>
      <c r="K351" s="63">
        <f t="shared" ca="1" si="73"/>
        <v>0</v>
      </c>
      <c r="L351" s="63" t="str">
        <f ca="1">IF(K351="fontFamily","fontFamily",IF(K351="fontSize","fontSize",IFERROR(INDEX(Elements!M:M,MATCH(Design!J351&amp;"|"&amp;Design!K351,Elements!N:N,0)),"")))</f>
        <v/>
      </c>
      <c r="M351" s="65" t="str">
        <f ca="1">IF(OR(L351="",L351="fill"),"",MATCH(IF(L351="enumeration",J351&amp;"|"&amp;G351,Design!L351),Elements!N:N,0))</f>
        <v/>
      </c>
      <c r="N351" s="65" t="str">
        <f t="shared" si="78"/>
        <v/>
      </c>
      <c r="O351" s="65" t="str">
        <f ca="1">"Elements!"&amp;INDEX(Elements!H:H,MATCH(Design!J351,Elements!J:J,0))</f>
        <v>Elements!K36:K44</v>
      </c>
      <c r="P351" s="65" t="str">
        <f t="shared" ca="1" si="84"/>
        <v>"</v>
      </c>
      <c r="Q351" s="75" t="str">
        <f t="shared" si="75"/>
        <v/>
      </c>
      <c r="R351" s="5" t="str">
        <f t="shared" si="76"/>
        <v/>
      </c>
      <c r="S351" s="5" t="str">
        <f t="shared" si="74"/>
        <v/>
      </c>
      <c r="T351" s="76" t="str">
        <f t="shared" si="77"/>
        <v/>
      </c>
      <c r="U351" s="5">
        <f t="shared" si="83"/>
        <v>0</v>
      </c>
      <c r="V351" s="5">
        <f t="shared" si="83"/>
        <v>0</v>
      </c>
      <c r="W351" s="77" t="str">
        <f t="shared" si="79"/>
        <v/>
      </c>
      <c r="X351" s="65" t="str">
        <f t="shared" si="80"/>
        <v/>
      </c>
      <c r="Y351" s="78" t="str">
        <f t="shared" si="81"/>
        <v/>
      </c>
      <c r="Z351" s="21"/>
      <c r="AA351" s="138"/>
      <c r="AB351" s="21"/>
    </row>
    <row r="352" spans="1:28" x14ac:dyDescent="0.25">
      <c r="A352" s="21"/>
      <c r="B352" s="18"/>
      <c r="C352" s="85" t="str">
        <f>IF(B352="","",INDEX(Elements!B:B,MATCH(Design!B352,Elements!A:A,0)))</f>
        <v/>
      </c>
      <c r="D352" s="13"/>
      <c r="E352" s="85" t="str">
        <f>IFERROR(IF(D352="","",INDEX(Elements!J:J,MATCH(Design!D352,Elements!I:I,0))),SUBSTITUTE(D352," ",""))</f>
        <v/>
      </c>
      <c r="F352" s="13"/>
      <c r="G352" s="84" t="str">
        <f>IFERROR(IF(F352="","",INDEX(Elements!L:L,MATCH(Design!F352,Elements!K:K,0))),F352)</f>
        <v/>
      </c>
      <c r="H352" s="12"/>
      <c r="I352" s="14"/>
      <c r="J352" s="63" t="str">
        <f t="shared" ca="1" si="82"/>
        <v>columnHeaders</v>
      </c>
      <c r="K352" s="63">
        <f t="shared" ca="1" si="73"/>
        <v>0</v>
      </c>
      <c r="L352" s="63" t="str">
        <f ca="1">IF(K352="fontFamily","fontFamily",IF(K352="fontSize","fontSize",IFERROR(INDEX(Elements!M:M,MATCH(Design!J352&amp;"|"&amp;Design!K352,Elements!N:N,0)),"")))</f>
        <v/>
      </c>
      <c r="M352" s="65" t="str">
        <f ca="1">IF(OR(L352="",L352="fill"),"",MATCH(IF(L352="enumeration",J352&amp;"|"&amp;G352,Design!L352),Elements!N:N,0))</f>
        <v/>
      </c>
      <c r="N352" s="65" t="str">
        <f t="shared" si="78"/>
        <v/>
      </c>
      <c r="O352" s="65" t="str">
        <f ca="1">"Elements!"&amp;INDEX(Elements!H:H,MATCH(Design!J352,Elements!J:J,0))</f>
        <v>Elements!K36:K44</v>
      </c>
      <c r="P352" s="65" t="str">
        <f t="shared" ca="1" si="84"/>
        <v>"</v>
      </c>
      <c r="Q352" s="75" t="str">
        <f t="shared" si="75"/>
        <v/>
      </c>
      <c r="R352" s="5" t="str">
        <f t="shared" si="76"/>
        <v/>
      </c>
      <c r="S352" s="5" t="str">
        <f t="shared" si="74"/>
        <v/>
      </c>
      <c r="T352" s="76" t="str">
        <f t="shared" si="77"/>
        <v/>
      </c>
      <c r="U352" s="5">
        <f t="shared" si="83"/>
        <v>0</v>
      </c>
      <c r="V352" s="5">
        <f t="shared" si="83"/>
        <v>0</v>
      </c>
      <c r="W352" s="77" t="str">
        <f t="shared" si="79"/>
        <v/>
      </c>
      <c r="X352" s="65" t="str">
        <f t="shared" si="80"/>
        <v/>
      </c>
      <c r="Y352" s="78" t="str">
        <f t="shared" si="81"/>
        <v/>
      </c>
      <c r="Z352" s="21"/>
      <c r="AA352" s="138"/>
      <c r="AB352" s="21"/>
    </row>
    <row r="353" spans="1:28" x14ac:dyDescent="0.25">
      <c r="A353" s="21"/>
      <c r="B353" s="18"/>
      <c r="C353" s="85" t="str">
        <f>IF(B353="","",INDEX(Elements!B:B,MATCH(Design!B353,Elements!A:A,0)))</f>
        <v/>
      </c>
      <c r="D353" s="13"/>
      <c r="E353" s="85" t="str">
        <f>IFERROR(IF(D353="","",INDEX(Elements!J:J,MATCH(Design!D353,Elements!I:I,0))),SUBSTITUTE(D353," ",""))</f>
        <v/>
      </c>
      <c r="F353" s="13"/>
      <c r="G353" s="84" t="str">
        <f>IFERROR(IF(F353="","",INDEX(Elements!L:L,MATCH(Design!F353,Elements!K:K,0))),F353)</f>
        <v/>
      </c>
      <c r="H353" s="12"/>
      <c r="I353" s="14"/>
      <c r="J353" s="63" t="str">
        <f t="shared" ca="1" si="82"/>
        <v>columnHeaders</v>
      </c>
      <c r="K353" s="63">
        <f t="shared" ca="1" si="73"/>
        <v>0</v>
      </c>
      <c r="L353" s="63" t="str">
        <f ca="1">IF(K353="fontFamily","fontFamily",IF(K353="fontSize","fontSize",IFERROR(INDEX(Elements!M:M,MATCH(Design!J353&amp;"|"&amp;Design!K353,Elements!N:N,0)),"")))</f>
        <v/>
      </c>
      <c r="M353" s="65" t="str">
        <f ca="1">IF(OR(L353="",L353="fill"),"",MATCH(IF(L353="enumeration",J353&amp;"|"&amp;G353,Design!L353),Elements!N:N,0))</f>
        <v/>
      </c>
      <c r="N353" s="65" t="str">
        <f t="shared" si="78"/>
        <v/>
      </c>
      <c r="O353" s="65" t="str">
        <f ca="1">"Elements!"&amp;INDEX(Elements!H:H,MATCH(Design!J353,Elements!J:J,0))</f>
        <v>Elements!K36:K44</v>
      </c>
      <c r="P353" s="65" t="str">
        <f t="shared" ca="1" si="84"/>
        <v>"</v>
      </c>
      <c r="Q353" s="75" t="str">
        <f t="shared" si="75"/>
        <v/>
      </c>
      <c r="R353" s="5" t="str">
        <f t="shared" si="76"/>
        <v/>
      </c>
      <c r="S353" s="5" t="str">
        <f t="shared" si="74"/>
        <v/>
      </c>
      <c r="T353" s="76" t="str">
        <f t="shared" si="77"/>
        <v/>
      </c>
      <c r="U353" s="5">
        <f t="shared" si="83"/>
        <v>0</v>
      </c>
      <c r="V353" s="5">
        <f t="shared" si="83"/>
        <v>0</v>
      </c>
      <c r="W353" s="77" t="str">
        <f t="shared" si="79"/>
        <v/>
      </c>
      <c r="X353" s="65" t="str">
        <f t="shared" si="80"/>
        <v/>
      </c>
      <c r="Y353" s="78" t="str">
        <f t="shared" si="81"/>
        <v/>
      </c>
      <c r="Z353" s="21"/>
      <c r="AA353" s="138"/>
      <c r="AB353" s="21"/>
    </row>
    <row r="354" spans="1:28" x14ac:dyDescent="0.25">
      <c r="A354" s="21"/>
      <c r="B354" s="18"/>
      <c r="C354" s="85" t="str">
        <f>IF(B354="","",INDEX(Elements!B:B,MATCH(Design!B354,Elements!A:A,0)))</f>
        <v/>
      </c>
      <c r="D354" s="13"/>
      <c r="E354" s="85" t="str">
        <f>IFERROR(IF(D354="","",INDEX(Elements!J:J,MATCH(Design!D354,Elements!I:I,0))),SUBSTITUTE(D354," ",""))</f>
        <v/>
      </c>
      <c r="F354" s="13"/>
      <c r="G354" s="84" t="str">
        <f>IFERROR(IF(F354="","",INDEX(Elements!L:L,MATCH(Design!F354,Elements!K:K,0))),F354)</f>
        <v/>
      </c>
      <c r="H354" s="12"/>
      <c r="I354" s="14"/>
      <c r="J354" s="63" t="str">
        <f t="shared" ca="1" si="82"/>
        <v>columnHeaders</v>
      </c>
      <c r="K354" s="63">
        <f t="shared" ca="1" si="73"/>
        <v>0</v>
      </c>
      <c r="L354" s="63" t="str">
        <f ca="1">IF(K354="fontFamily","fontFamily",IF(K354="fontSize","fontSize",IFERROR(INDEX(Elements!M:M,MATCH(Design!J354&amp;"|"&amp;Design!K354,Elements!N:N,0)),"")))</f>
        <v/>
      </c>
      <c r="M354" s="65" t="str">
        <f ca="1">IF(OR(L354="",L354="fill"),"",MATCH(IF(L354="enumeration",J354&amp;"|"&amp;G354,Design!L354),Elements!N:N,0))</f>
        <v/>
      </c>
      <c r="N354" s="65" t="str">
        <f t="shared" si="78"/>
        <v/>
      </c>
      <c r="O354" s="65" t="str">
        <f ca="1">"Elements!"&amp;INDEX(Elements!H:H,MATCH(Design!J354,Elements!J:J,0))</f>
        <v>Elements!K36:K44</v>
      </c>
      <c r="P354" s="65" t="str">
        <f t="shared" ca="1" si="84"/>
        <v>"</v>
      </c>
      <c r="Q354" s="75" t="str">
        <f t="shared" si="75"/>
        <v/>
      </c>
      <c r="R354" s="5" t="str">
        <f t="shared" si="76"/>
        <v/>
      </c>
      <c r="S354" s="5" t="str">
        <f t="shared" si="74"/>
        <v/>
      </c>
      <c r="T354" s="76" t="str">
        <f t="shared" si="77"/>
        <v/>
      </c>
      <c r="U354" s="5">
        <f t="shared" si="83"/>
        <v>0</v>
      </c>
      <c r="V354" s="5">
        <f t="shared" si="83"/>
        <v>0</v>
      </c>
      <c r="W354" s="77" t="str">
        <f t="shared" si="79"/>
        <v/>
      </c>
      <c r="X354" s="65" t="str">
        <f t="shared" si="80"/>
        <v/>
      </c>
      <c r="Y354" s="78" t="str">
        <f t="shared" si="81"/>
        <v/>
      </c>
      <c r="Z354" s="21"/>
      <c r="AA354" s="138"/>
      <c r="AB354" s="21"/>
    </row>
    <row r="355" spans="1:28" x14ac:dyDescent="0.25">
      <c r="A355" s="21"/>
      <c r="B355" s="18"/>
      <c r="C355" s="85" t="str">
        <f>IF(B355="","",INDEX(Elements!B:B,MATCH(Design!B355,Elements!A:A,0)))</f>
        <v/>
      </c>
      <c r="D355" s="13"/>
      <c r="E355" s="85" t="str">
        <f>IFERROR(IF(D355="","",INDEX(Elements!J:J,MATCH(Design!D355,Elements!I:I,0))),SUBSTITUTE(D355," ",""))</f>
        <v/>
      </c>
      <c r="F355" s="13"/>
      <c r="G355" s="84" t="str">
        <f>IFERROR(IF(F355="","",INDEX(Elements!L:L,MATCH(Design!F355,Elements!K:K,0))),F355)</f>
        <v/>
      </c>
      <c r="H355" s="12"/>
      <c r="I355" s="14"/>
      <c r="J355" s="63" t="str">
        <f t="shared" ca="1" si="82"/>
        <v>columnHeaders</v>
      </c>
      <c r="K355" s="63">
        <f t="shared" ca="1" si="73"/>
        <v>0</v>
      </c>
      <c r="L355" s="63" t="str">
        <f ca="1">IF(K355="fontFamily","fontFamily",IF(K355="fontSize","fontSize",IFERROR(INDEX(Elements!M:M,MATCH(Design!J355&amp;"|"&amp;Design!K355,Elements!N:N,0)),"")))</f>
        <v/>
      </c>
      <c r="M355" s="65" t="str">
        <f ca="1">IF(OR(L355="",L355="fill"),"",MATCH(IF(L355="enumeration",J355&amp;"|"&amp;G355,Design!L355),Elements!N:N,0))</f>
        <v/>
      </c>
      <c r="N355" s="65" t="str">
        <f t="shared" si="78"/>
        <v/>
      </c>
      <c r="O355" s="65" t="str">
        <f ca="1">"Elements!"&amp;INDEX(Elements!H:H,MATCH(Design!J355,Elements!J:J,0))</f>
        <v>Elements!K36:K44</v>
      </c>
      <c r="P355" s="65" t="str">
        <f t="shared" ca="1" si="84"/>
        <v>"</v>
      </c>
      <c r="Q355" s="75" t="str">
        <f t="shared" si="75"/>
        <v/>
      </c>
      <c r="R355" s="5" t="str">
        <f t="shared" si="76"/>
        <v/>
      </c>
      <c r="S355" s="5" t="str">
        <f t="shared" si="74"/>
        <v/>
      </c>
      <c r="T355" s="76" t="str">
        <f t="shared" si="77"/>
        <v/>
      </c>
      <c r="U355" s="5">
        <f t="shared" si="83"/>
        <v>0</v>
      </c>
      <c r="V355" s="5">
        <f t="shared" si="83"/>
        <v>0</v>
      </c>
      <c r="W355" s="77" t="str">
        <f t="shared" si="79"/>
        <v/>
      </c>
      <c r="X355" s="65" t="str">
        <f t="shared" si="80"/>
        <v/>
      </c>
      <c r="Y355" s="78" t="str">
        <f t="shared" si="81"/>
        <v/>
      </c>
      <c r="Z355" s="21"/>
      <c r="AA355" s="138"/>
      <c r="AB355" s="21"/>
    </row>
    <row r="356" spans="1:28" x14ac:dyDescent="0.25">
      <c r="A356" s="21"/>
      <c r="B356" s="18"/>
      <c r="C356" s="85" t="str">
        <f>IF(B356="","",INDEX(Elements!B:B,MATCH(Design!B356,Elements!A:A,0)))</f>
        <v/>
      </c>
      <c r="D356" s="13"/>
      <c r="E356" s="85" t="str">
        <f>IFERROR(IF(D356="","",INDEX(Elements!J:J,MATCH(Design!D356,Elements!I:I,0))),SUBSTITUTE(D356," ",""))</f>
        <v/>
      </c>
      <c r="F356" s="13"/>
      <c r="G356" s="84" t="str">
        <f>IFERROR(IF(F356="","",INDEX(Elements!L:L,MATCH(Design!F356,Elements!K:K,0))),F356)</f>
        <v/>
      </c>
      <c r="H356" s="12"/>
      <c r="I356" s="14"/>
      <c r="J356" s="63" t="str">
        <f t="shared" ca="1" si="82"/>
        <v>columnHeaders</v>
      </c>
      <c r="K356" s="63">
        <f t="shared" ca="1" si="73"/>
        <v>0</v>
      </c>
      <c r="L356" s="63" t="str">
        <f ca="1">IF(K356="fontFamily","fontFamily",IF(K356="fontSize","fontSize",IFERROR(INDEX(Elements!M:M,MATCH(Design!J356&amp;"|"&amp;Design!K356,Elements!N:N,0)),"")))</f>
        <v/>
      </c>
      <c r="M356" s="65" t="str">
        <f ca="1">IF(OR(L356="",L356="fill"),"",MATCH(IF(L356="enumeration",J356&amp;"|"&amp;G356,Design!L356),Elements!N:N,0))</f>
        <v/>
      </c>
      <c r="N356" s="65" t="str">
        <f t="shared" si="78"/>
        <v/>
      </c>
      <c r="O356" s="65" t="str">
        <f ca="1">"Elements!"&amp;INDEX(Elements!H:H,MATCH(Design!J356,Elements!J:J,0))</f>
        <v>Elements!K36:K44</v>
      </c>
      <c r="P356" s="65" t="str">
        <f t="shared" ca="1" si="84"/>
        <v>"</v>
      </c>
      <c r="Q356" s="75" t="str">
        <f t="shared" si="75"/>
        <v/>
      </c>
      <c r="R356" s="5" t="str">
        <f t="shared" si="76"/>
        <v/>
      </c>
      <c r="S356" s="5" t="str">
        <f t="shared" si="74"/>
        <v/>
      </c>
      <c r="T356" s="76" t="str">
        <f t="shared" si="77"/>
        <v/>
      </c>
      <c r="U356" s="5">
        <f t="shared" si="83"/>
        <v>0</v>
      </c>
      <c r="V356" s="5">
        <f t="shared" si="83"/>
        <v>0</v>
      </c>
      <c r="W356" s="77" t="str">
        <f t="shared" si="79"/>
        <v/>
      </c>
      <c r="X356" s="65" t="str">
        <f t="shared" si="80"/>
        <v/>
      </c>
      <c r="Y356" s="78" t="str">
        <f t="shared" si="81"/>
        <v/>
      </c>
      <c r="Z356" s="21"/>
      <c r="AA356" s="138"/>
      <c r="AB356" s="21"/>
    </row>
    <row r="357" spans="1:28" x14ac:dyDescent="0.25">
      <c r="A357" s="21"/>
      <c r="B357" s="18"/>
      <c r="C357" s="85" t="str">
        <f>IF(B357="","",INDEX(Elements!B:B,MATCH(Design!B357,Elements!A:A,0)))</f>
        <v/>
      </c>
      <c r="D357" s="13"/>
      <c r="E357" s="85" t="str">
        <f>IFERROR(IF(D357="","",INDEX(Elements!J:J,MATCH(Design!D357,Elements!I:I,0))),SUBSTITUTE(D357," ",""))</f>
        <v/>
      </c>
      <c r="F357" s="13"/>
      <c r="G357" s="84" t="str">
        <f>IFERROR(IF(F357="","",INDEX(Elements!L:L,MATCH(Design!F357,Elements!K:K,0))),F357)</f>
        <v/>
      </c>
      <c r="H357" s="12"/>
      <c r="I357" s="14"/>
      <c r="J357" s="63" t="str">
        <f t="shared" ca="1" si="82"/>
        <v>columnHeaders</v>
      </c>
      <c r="K357" s="63">
        <f t="shared" ca="1" si="73"/>
        <v>0</v>
      </c>
      <c r="L357" s="63" t="str">
        <f ca="1">IF(K357="fontFamily","fontFamily",IF(K357="fontSize","fontSize",IFERROR(INDEX(Elements!M:M,MATCH(Design!J357&amp;"|"&amp;Design!K357,Elements!N:N,0)),"")))</f>
        <v/>
      </c>
      <c r="M357" s="65" t="str">
        <f ca="1">IF(OR(L357="",L357="fill"),"",MATCH(IF(L357="enumeration",J357&amp;"|"&amp;G357,Design!L357),Elements!N:N,0))</f>
        <v/>
      </c>
      <c r="N357" s="65" t="str">
        <f t="shared" si="78"/>
        <v/>
      </c>
      <c r="O357" s="65" t="str">
        <f ca="1">"Elements!"&amp;INDEX(Elements!H:H,MATCH(Design!J357,Elements!J:J,0))</f>
        <v>Elements!K36:K44</v>
      </c>
      <c r="P357" s="65" t="str">
        <f t="shared" ca="1" si="84"/>
        <v>"</v>
      </c>
      <c r="Q357" s="75" t="str">
        <f t="shared" si="75"/>
        <v/>
      </c>
      <c r="R357" s="5" t="str">
        <f t="shared" si="76"/>
        <v/>
      </c>
      <c r="S357" s="5" t="str">
        <f t="shared" si="74"/>
        <v/>
      </c>
      <c r="T357" s="76" t="str">
        <f t="shared" si="77"/>
        <v/>
      </c>
      <c r="U357" s="5">
        <f t="shared" si="83"/>
        <v>0</v>
      </c>
      <c r="V357" s="5">
        <f t="shared" si="83"/>
        <v>0</v>
      </c>
      <c r="W357" s="77" t="str">
        <f t="shared" si="79"/>
        <v/>
      </c>
      <c r="X357" s="65" t="str">
        <f t="shared" si="80"/>
        <v/>
      </c>
      <c r="Y357" s="78" t="str">
        <f t="shared" si="81"/>
        <v/>
      </c>
      <c r="Z357" s="21"/>
      <c r="AA357" s="138"/>
      <c r="AB357" s="21"/>
    </row>
    <row r="358" spans="1:28" x14ac:dyDescent="0.25">
      <c r="A358" s="21"/>
      <c r="B358" s="18"/>
      <c r="C358" s="85" t="str">
        <f>IF(B358="","",INDEX(Elements!B:B,MATCH(Design!B358,Elements!A:A,0)))</f>
        <v/>
      </c>
      <c r="D358" s="13"/>
      <c r="E358" s="85" t="str">
        <f>IFERROR(IF(D358="","",INDEX(Elements!J:J,MATCH(Design!D358,Elements!I:I,0))),SUBSTITUTE(D358," ",""))</f>
        <v/>
      </c>
      <c r="F358" s="13"/>
      <c r="G358" s="84" t="str">
        <f>IFERROR(IF(F358="","",INDEX(Elements!L:L,MATCH(Design!F358,Elements!K:K,0))),F358)</f>
        <v/>
      </c>
      <c r="H358" s="12"/>
      <c r="I358" s="14"/>
      <c r="J358" s="63" t="str">
        <f t="shared" ca="1" si="82"/>
        <v>columnHeaders</v>
      </c>
      <c r="K358" s="63">
        <f t="shared" ca="1" si="73"/>
        <v>0</v>
      </c>
      <c r="L358" s="63" t="str">
        <f ca="1">IF(K358="fontFamily","fontFamily",IF(K358="fontSize","fontSize",IFERROR(INDEX(Elements!M:M,MATCH(Design!J358&amp;"|"&amp;Design!K358,Elements!N:N,0)),"")))</f>
        <v/>
      </c>
      <c r="M358" s="65" t="str">
        <f ca="1">IF(OR(L358="",L358="fill"),"",MATCH(IF(L358="enumeration",J358&amp;"|"&amp;G358,Design!L358),Elements!N:N,0))</f>
        <v/>
      </c>
      <c r="N358" s="65" t="str">
        <f t="shared" si="78"/>
        <v/>
      </c>
      <c r="O358" s="65" t="str">
        <f ca="1">"Elements!"&amp;INDEX(Elements!H:H,MATCH(Design!J358,Elements!J:J,0))</f>
        <v>Elements!K36:K44</v>
      </c>
      <c r="P358" s="65" t="str">
        <f t="shared" ca="1" si="84"/>
        <v>"</v>
      </c>
      <c r="Q358" s="75" t="str">
        <f t="shared" si="75"/>
        <v/>
      </c>
      <c r="R358" s="5" t="str">
        <f t="shared" si="76"/>
        <v/>
      </c>
      <c r="S358" s="5" t="str">
        <f t="shared" si="74"/>
        <v/>
      </c>
      <c r="T358" s="76" t="str">
        <f t="shared" si="77"/>
        <v/>
      </c>
      <c r="U358" s="5">
        <f t="shared" si="83"/>
        <v>0</v>
      </c>
      <c r="V358" s="5">
        <f t="shared" si="83"/>
        <v>0</v>
      </c>
      <c r="W358" s="77" t="str">
        <f t="shared" si="79"/>
        <v/>
      </c>
      <c r="X358" s="65" t="str">
        <f t="shared" si="80"/>
        <v/>
      </c>
      <c r="Y358" s="78" t="str">
        <f t="shared" si="81"/>
        <v/>
      </c>
      <c r="Z358" s="21"/>
      <c r="AA358" s="138"/>
      <c r="AB358" s="21"/>
    </row>
    <row r="359" spans="1:28" x14ac:dyDescent="0.25">
      <c r="A359" s="21"/>
      <c r="B359" s="18"/>
      <c r="C359" s="85" t="str">
        <f>IF(B359="","",INDEX(Elements!B:B,MATCH(Design!B359,Elements!A:A,0)))</f>
        <v/>
      </c>
      <c r="D359" s="13"/>
      <c r="E359" s="85" t="str">
        <f>IFERROR(IF(D359="","",INDEX(Elements!J:J,MATCH(Design!D359,Elements!I:I,0))),SUBSTITUTE(D359," ",""))</f>
        <v/>
      </c>
      <c r="F359" s="13"/>
      <c r="G359" s="84" t="str">
        <f>IFERROR(IF(F359="","",INDEX(Elements!L:L,MATCH(Design!F359,Elements!K:K,0))),F359)</f>
        <v/>
      </c>
      <c r="H359" s="12"/>
      <c r="I359" s="14"/>
      <c r="J359" s="63" t="str">
        <f t="shared" ca="1" si="82"/>
        <v>columnHeaders</v>
      </c>
      <c r="K359" s="63">
        <f t="shared" ca="1" si="73"/>
        <v>0</v>
      </c>
      <c r="L359" s="63" t="str">
        <f ca="1">IF(K359="fontFamily","fontFamily",IF(K359="fontSize","fontSize",IFERROR(INDEX(Elements!M:M,MATCH(Design!J359&amp;"|"&amp;Design!K359,Elements!N:N,0)),"")))</f>
        <v/>
      </c>
      <c r="M359" s="65" t="str">
        <f ca="1">IF(OR(L359="",L359="fill"),"",MATCH(IF(L359="enumeration",J359&amp;"|"&amp;G359,Design!L359),Elements!N:N,0))</f>
        <v/>
      </c>
      <c r="N359" s="65" t="str">
        <f t="shared" si="78"/>
        <v/>
      </c>
      <c r="O359" s="65" t="str">
        <f ca="1">"Elements!"&amp;INDEX(Elements!H:H,MATCH(Design!J359,Elements!J:J,0))</f>
        <v>Elements!K36:K44</v>
      </c>
      <c r="P359" s="65" t="str">
        <f t="shared" ca="1" si="84"/>
        <v>"</v>
      </c>
      <c r="Q359" s="75" t="str">
        <f t="shared" si="75"/>
        <v/>
      </c>
      <c r="R359" s="5" t="str">
        <f t="shared" si="76"/>
        <v/>
      </c>
      <c r="S359" s="5" t="str">
        <f t="shared" si="74"/>
        <v/>
      </c>
      <c r="T359" s="76" t="str">
        <f t="shared" si="77"/>
        <v/>
      </c>
      <c r="U359" s="5">
        <f t="shared" si="83"/>
        <v>0</v>
      </c>
      <c r="V359" s="5">
        <f t="shared" si="83"/>
        <v>0</v>
      </c>
      <c r="W359" s="77" t="str">
        <f t="shared" si="79"/>
        <v/>
      </c>
      <c r="X359" s="65" t="str">
        <f t="shared" si="80"/>
        <v/>
      </c>
      <c r="Y359" s="78" t="str">
        <f t="shared" si="81"/>
        <v/>
      </c>
      <c r="Z359" s="21"/>
      <c r="AA359" s="138"/>
      <c r="AB359" s="21"/>
    </row>
    <row r="360" spans="1:28" x14ac:dyDescent="0.25">
      <c r="A360" s="21"/>
      <c r="B360" s="18"/>
      <c r="C360" s="85" t="str">
        <f>IF(B360="","",INDEX(Elements!B:B,MATCH(Design!B360,Elements!A:A,0)))</f>
        <v/>
      </c>
      <c r="D360" s="13"/>
      <c r="E360" s="85" t="str">
        <f>IFERROR(IF(D360="","",INDEX(Elements!J:J,MATCH(Design!D360,Elements!I:I,0))),SUBSTITUTE(D360," ",""))</f>
        <v/>
      </c>
      <c r="F360" s="13"/>
      <c r="G360" s="84" t="str">
        <f>IFERROR(IF(F360="","",INDEX(Elements!L:L,MATCH(Design!F360,Elements!K:K,0))),F360)</f>
        <v/>
      </c>
      <c r="H360" s="12"/>
      <c r="I360" s="14"/>
      <c r="J360" s="63" t="str">
        <f t="shared" ca="1" si="82"/>
        <v>columnHeaders</v>
      </c>
      <c r="K360" s="63">
        <f t="shared" ca="1" si="73"/>
        <v>0</v>
      </c>
      <c r="L360" s="63" t="str">
        <f ca="1">IF(K360="fontFamily","fontFamily",IF(K360="fontSize","fontSize",IFERROR(INDEX(Elements!M:M,MATCH(Design!J360&amp;"|"&amp;Design!K360,Elements!N:N,0)),"")))</f>
        <v/>
      </c>
      <c r="M360" s="65" t="str">
        <f ca="1">IF(OR(L360="",L360="fill"),"",MATCH(IF(L360="enumeration",J360&amp;"|"&amp;G360,Design!L360),Elements!N:N,0))</f>
        <v/>
      </c>
      <c r="N360" s="65" t="str">
        <f t="shared" si="78"/>
        <v/>
      </c>
      <c r="O360" s="65" t="str">
        <f ca="1">"Elements!"&amp;INDEX(Elements!H:H,MATCH(Design!J360,Elements!J:J,0))</f>
        <v>Elements!K36:K44</v>
      </c>
      <c r="P360" s="65" t="str">
        <f t="shared" ca="1" si="84"/>
        <v>"</v>
      </c>
      <c r="Q360" s="75" t="str">
        <f t="shared" si="75"/>
        <v/>
      </c>
      <c r="R360" s="5" t="str">
        <f t="shared" si="76"/>
        <v/>
      </c>
      <c r="S360" s="5" t="str">
        <f t="shared" si="74"/>
        <v/>
      </c>
      <c r="T360" s="76" t="str">
        <f t="shared" si="77"/>
        <v/>
      </c>
      <c r="U360" s="5">
        <f t="shared" si="83"/>
        <v>0</v>
      </c>
      <c r="V360" s="5">
        <f t="shared" si="83"/>
        <v>0</v>
      </c>
      <c r="W360" s="77" t="str">
        <f t="shared" si="79"/>
        <v/>
      </c>
      <c r="X360" s="65" t="str">
        <f t="shared" si="80"/>
        <v/>
      </c>
      <c r="Y360" s="78" t="str">
        <f t="shared" si="81"/>
        <v/>
      </c>
      <c r="Z360" s="21"/>
      <c r="AA360" s="138"/>
      <c r="AB360" s="21"/>
    </row>
    <row r="361" spans="1:28" x14ac:dyDescent="0.25">
      <c r="A361" s="21"/>
      <c r="B361" s="18"/>
      <c r="C361" s="85" t="str">
        <f>IF(B361="","",INDEX(Elements!B:B,MATCH(Design!B361,Elements!A:A,0)))</f>
        <v/>
      </c>
      <c r="D361" s="13"/>
      <c r="E361" s="85" t="str">
        <f>IFERROR(IF(D361="","",INDEX(Elements!J:J,MATCH(Design!D361,Elements!I:I,0))),SUBSTITUTE(D361," ",""))</f>
        <v/>
      </c>
      <c r="F361" s="13"/>
      <c r="G361" s="84" t="str">
        <f>IFERROR(IF(F361="","",INDEX(Elements!L:L,MATCH(Design!F361,Elements!K:K,0))),F361)</f>
        <v/>
      </c>
      <c r="H361" s="12"/>
      <c r="I361" s="14"/>
      <c r="J361" s="63" t="str">
        <f t="shared" ca="1" si="82"/>
        <v>columnHeaders</v>
      </c>
      <c r="K361" s="63">
        <f t="shared" ca="1" si="73"/>
        <v>0</v>
      </c>
      <c r="L361" s="63" t="str">
        <f ca="1">IF(K361="fontFamily","fontFamily",IF(K361="fontSize","fontSize",IFERROR(INDEX(Elements!M:M,MATCH(Design!J361&amp;"|"&amp;Design!K361,Elements!N:N,0)),"")))</f>
        <v/>
      </c>
      <c r="M361" s="65" t="str">
        <f ca="1">IF(OR(L361="",L361="fill"),"",MATCH(IF(L361="enumeration",J361&amp;"|"&amp;G361,Design!L361),Elements!N:N,0))</f>
        <v/>
      </c>
      <c r="N361" s="65" t="str">
        <f t="shared" si="78"/>
        <v/>
      </c>
      <c r="O361" s="65" t="str">
        <f ca="1">"Elements!"&amp;INDEX(Elements!H:H,MATCH(Design!J361,Elements!J:J,0))</f>
        <v>Elements!K36:K44</v>
      </c>
      <c r="P361" s="65" t="str">
        <f t="shared" ca="1" si="84"/>
        <v>"</v>
      </c>
      <c r="Q361" s="75" t="str">
        <f t="shared" si="75"/>
        <v/>
      </c>
      <c r="R361" s="5" t="str">
        <f t="shared" si="76"/>
        <v/>
      </c>
      <c r="S361" s="5" t="str">
        <f t="shared" si="74"/>
        <v/>
      </c>
      <c r="T361" s="76" t="str">
        <f t="shared" si="77"/>
        <v/>
      </c>
      <c r="U361" s="5">
        <f t="shared" si="83"/>
        <v>0</v>
      </c>
      <c r="V361" s="5">
        <f t="shared" si="83"/>
        <v>0</v>
      </c>
      <c r="W361" s="77" t="str">
        <f t="shared" si="79"/>
        <v/>
      </c>
      <c r="X361" s="65" t="str">
        <f t="shared" si="80"/>
        <v/>
      </c>
      <c r="Y361" s="78" t="str">
        <f t="shared" si="81"/>
        <v/>
      </c>
      <c r="Z361" s="21"/>
      <c r="AA361" s="138"/>
      <c r="AB361" s="21"/>
    </row>
    <row r="362" spans="1:28" x14ac:dyDescent="0.25">
      <c r="A362" s="21"/>
      <c r="B362" s="18"/>
      <c r="C362" s="85" t="str">
        <f>IF(B362="","",INDEX(Elements!B:B,MATCH(Design!B362,Elements!A:A,0)))</f>
        <v/>
      </c>
      <c r="D362" s="13"/>
      <c r="E362" s="85" t="str">
        <f>IFERROR(IF(D362="","",INDEX(Elements!J:J,MATCH(Design!D362,Elements!I:I,0))),SUBSTITUTE(D362," ",""))</f>
        <v/>
      </c>
      <c r="F362" s="13"/>
      <c r="G362" s="84" t="str">
        <f>IFERROR(IF(F362="","",INDEX(Elements!L:L,MATCH(Design!F362,Elements!K:K,0))),F362)</f>
        <v/>
      </c>
      <c r="H362" s="12"/>
      <c r="I362" s="14"/>
      <c r="J362" s="63" t="str">
        <f t="shared" ca="1" si="82"/>
        <v>columnHeaders</v>
      </c>
      <c r="K362" s="63">
        <f t="shared" ca="1" si="73"/>
        <v>0</v>
      </c>
      <c r="L362" s="63" t="str">
        <f ca="1">IF(K362="fontFamily","fontFamily",IF(K362="fontSize","fontSize",IFERROR(INDEX(Elements!M:M,MATCH(Design!J362&amp;"|"&amp;Design!K362,Elements!N:N,0)),"")))</f>
        <v/>
      </c>
      <c r="M362" s="65" t="str">
        <f ca="1">IF(OR(L362="",L362="fill"),"",MATCH(IF(L362="enumeration",J362&amp;"|"&amp;G362,Design!L362),Elements!N:N,0))</f>
        <v/>
      </c>
      <c r="N362" s="65" t="str">
        <f t="shared" si="78"/>
        <v/>
      </c>
      <c r="O362" s="65" t="str">
        <f ca="1">"Elements!"&amp;INDEX(Elements!H:H,MATCH(Design!J362,Elements!J:J,0))</f>
        <v>Elements!K36:K44</v>
      </c>
      <c r="P362" s="65" t="str">
        <f t="shared" ca="1" si="84"/>
        <v>"</v>
      </c>
      <c r="Q362" s="75" t="str">
        <f t="shared" si="75"/>
        <v/>
      </c>
      <c r="R362" s="5" t="str">
        <f t="shared" si="76"/>
        <v/>
      </c>
      <c r="S362" s="5" t="str">
        <f t="shared" si="74"/>
        <v/>
      </c>
      <c r="T362" s="76" t="str">
        <f t="shared" si="77"/>
        <v/>
      </c>
      <c r="U362" s="5">
        <f t="shared" si="83"/>
        <v>0</v>
      </c>
      <c r="V362" s="5">
        <f t="shared" si="83"/>
        <v>0</v>
      </c>
      <c r="W362" s="77" t="str">
        <f t="shared" si="79"/>
        <v/>
      </c>
      <c r="X362" s="65" t="str">
        <f t="shared" si="80"/>
        <v/>
      </c>
      <c r="Y362" s="78" t="str">
        <f t="shared" si="81"/>
        <v/>
      </c>
      <c r="Z362" s="21"/>
      <c r="AA362" s="138"/>
      <c r="AB362" s="21"/>
    </row>
    <row r="363" spans="1:28" x14ac:dyDescent="0.25">
      <c r="A363" s="21"/>
      <c r="B363" s="18"/>
      <c r="C363" s="85" t="str">
        <f>IF(B363="","",INDEX(Elements!B:B,MATCH(Design!B363,Elements!A:A,0)))</f>
        <v/>
      </c>
      <c r="D363" s="13"/>
      <c r="E363" s="85" t="str">
        <f>IFERROR(IF(D363="","",INDEX(Elements!J:J,MATCH(Design!D363,Elements!I:I,0))),SUBSTITUTE(D363," ",""))</f>
        <v/>
      </c>
      <c r="F363" s="13"/>
      <c r="G363" s="84" t="str">
        <f>IFERROR(IF(F363="","",INDEX(Elements!L:L,MATCH(Design!F363,Elements!K:K,0))),F363)</f>
        <v/>
      </c>
      <c r="H363" s="12"/>
      <c r="I363" s="14"/>
      <c r="J363" s="63" t="str">
        <f t="shared" ca="1" si="82"/>
        <v>columnHeaders</v>
      </c>
      <c r="K363" s="63">
        <f t="shared" ca="1" si="73"/>
        <v>0</v>
      </c>
      <c r="L363" s="63" t="str">
        <f ca="1">IF(K363="fontFamily","fontFamily",IF(K363="fontSize","fontSize",IFERROR(INDEX(Elements!M:M,MATCH(Design!J363&amp;"|"&amp;Design!K363,Elements!N:N,0)),"")))</f>
        <v/>
      </c>
      <c r="M363" s="65" t="str">
        <f ca="1">IF(OR(L363="",L363="fill"),"",MATCH(IF(L363="enumeration",J363&amp;"|"&amp;G363,Design!L363),Elements!N:N,0))</f>
        <v/>
      </c>
      <c r="N363" s="65" t="str">
        <f t="shared" si="78"/>
        <v/>
      </c>
      <c r="O363" s="65" t="str">
        <f ca="1">"Elements!"&amp;INDEX(Elements!H:H,MATCH(Design!J363,Elements!J:J,0))</f>
        <v>Elements!K36:K44</v>
      </c>
      <c r="P363" s="65" t="str">
        <f t="shared" ca="1" si="84"/>
        <v>"</v>
      </c>
      <c r="Q363" s="75" t="str">
        <f t="shared" si="75"/>
        <v/>
      </c>
      <c r="R363" s="5" t="str">
        <f t="shared" si="76"/>
        <v/>
      </c>
      <c r="S363" s="5" t="str">
        <f t="shared" si="74"/>
        <v/>
      </c>
      <c r="T363" s="76" t="str">
        <f t="shared" si="77"/>
        <v/>
      </c>
      <c r="U363" s="5">
        <f t="shared" si="83"/>
        <v>0</v>
      </c>
      <c r="V363" s="5">
        <f t="shared" si="83"/>
        <v>0</v>
      </c>
      <c r="W363" s="77" t="str">
        <f t="shared" si="79"/>
        <v/>
      </c>
      <c r="X363" s="65" t="str">
        <f t="shared" si="80"/>
        <v/>
      </c>
      <c r="Y363" s="78" t="str">
        <f t="shared" si="81"/>
        <v/>
      </c>
      <c r="Z363" s="21"/>
      <c r="AA363" s="138"/>
      <c r="AB363" s="21"/>
    </row>
    <row r="364" spans="1:28" x14ac:dyDescent="0.25">
      <c r="A364" s="21"/>
      <c r="B364" s="18"/>
      <c r="C364" s="85" t="str">
        <f>IF(B364="","",INDEX(Elements!B:B,MATCH(Design!B364,Elements!A:A,0)))</f>
        <v/>
      </c>
      <c r="D364" s="13"/>
      <c r="E364" s="85" t="str">
        <f>IFERROR(IF(D364="","",INDEX(Elements!J:J,MATCH(Design!D364,Elements!I:I,0))),SUBSTITUTE(D364," ",""))</f>
        <v/>
      </c>
      <c r="F364" s="13"/>
      <c r="G364" s="84" t="str">
        <f>IFERROR(IF(F364="","",INDEX(Elements!L:L,MATCH(Design!F364,Elements!K:K,0))),F364)</f>
        <v/>
      </c>
      <c r="H364" s="12"/>
      <c r="I364" s="14"/>
      <c r="J364" s="63" t="str">
        <f t="shared" ca="1" si="82"/>
        <v>columnHeaders</v>
      </c>
      <c r="K364" s="63">
        <f t="shared" ca="1" si="73"/>
        <v>0</v>
      </c>
      <c r="L364" s="63" t="str">
        <f ca="1">IF(K364="fontFamily","fontFamily",IF(K364="fontSize","fontSize",IFERROR(INDEX(Elements!M:M,MATCH(Design!J364&amp;"|"&amp;Design!K364,Elements!N:N,0)),"")))</f>
        <v/>
      </c>
      <c r="M364" s="65" t="str">
        <f ca="1">IF(OR(L364="",L364="fill"),"",MATCH(IF(L364="enumeration",J364&amp;"|"&amp;G364,Design!L364),Elements!N:N,0))</f>
        <v/>
      </c>
      <c r="N364" s="65" t="str">
        <f t="shared" si="78"/>
        <v/>
      </c>
      <c r="O364" s="65" t="str">
        <f ca="1">"Elements!"&amp;INDEX(Elements!H:H,MATCH(Design!J364,Elements!J:J,0))</f>
        <v>Elements!K36:K44</v>
      </c>
      <c r="P364" s="65" t="str">
        <f t="shared" ca="1" si="84"/>
        <v>"</v>
      </c>
      <c r="Q364" s="75" t="str">
        <f t="shared" si="75"/>
        <v/>
      </c>
      <c r="R364" s="5" t="str">
        <f t="shared" si="76"/>
        <v/>
      </c>
      <c r="S364" s="5" t="str">
        <f t="shared" si="74"/>
        <v/>
      </c>
      <c r="T364" s="76" t="str">
        <f t="shared" si="77"/>
        <v/>
      </c>
      <c r="U364" s="5">
        <f t="shared" si="83"/>
        <v>0</v>
      </c>
      <c r="V364" s="5">
        <f t="shared" si="83"/>
        <v>0</v>
      </c>
      <c r="W364" s="77" t="str">
        <f t="shared" si="79"/>
        <v/>
      </c>
      <c r="X364" s="65" t="str">
        <f t="shared" si="80"/>
        <v/>
      </c>
      <c r="Y364" s="78" t="str">
        <f t="shared" si="81"/>
        <v/>
      </c>
      <c r="Z364" s="21"/>
      <c r="AA364" s="138"/>
      <c r="AB364" s="21"/>
    </row>
    <row r="365" spans="1:28" x14ac:dyDescent="0.25">
      <c r="A365" s="21"/>
      <c r="B365" s="18"/>
      <c r="C365" s="85" t="str">
        <f>IF(B365="","",INDEX(Elements!B:B,MATCH(Design!B365,Elements!A:A,0)))</f>
        <v/>
      </c>
      <c r="D365" s="13"/>
      <c r="E365" s="85" t="str">
        <f>IFERROR(IF(D365="","",INDEX(Elements!J:J,MATCH(Design!D365,Elements!I:I,0))),SUBSTITUTE(D365," ",""))</f>
        <v/>
      </c>
      <c r="F365" s="13"/>
      <c r="G365" s="84" t="str">
        <f>IFERROR(IF(F365="","",INDEX(Elements!L:L,MATCH(Design!F365,Elements!K:K,0))),F365)</f>
        <v/>
      </c>
      <c r="H365" s="12"/>
      <c r="I365" s="14"/>
      <c r="J365" s="63" t="str">
        <f t="shared" ca="1" si="82"/>
        <v>columnHeaders</v>
      </c>
      <c r="K365" s="63">
        <f t="shared" ca="1" si="73"/>
        <v>0</v>
      </c>
      <c r="L365" s="63" t="str">
        <f ca="1">IF(K365="fontFamily","fontFamily",IF(K365="fontSize","fontSize",IFERROR(INDEX(Elements!M:M,MATCH(Design!J365&amp;"|"&amp;Design!K365,Elements!N:N,0)),"")))</f>
        <v/>
      </c>
      <c r="M365" s="65" t="str">
        <f ca="1">IF(OR(L365="",L365="fill"),"",MATCH(IF(L365="enumeration",J365&amp;"|"&amp;G365,Design!L365),Elements!N:N,0))</f>
        <v/>
      </c>
      <c r="N365" s="65" t="str">
        <f t="shared" si="78"/>
        <v/>
      </c>
      <c r="O365" s="65" t="str">
        <f ca="1">"Elements!"&amp;INDEX(Elements!H:H,MATCH(Design!J365,Elements!J:J,0))</f>
        <v>Elements!K36:K44</v>
      </c>
      <c r="P365" s="65" t="str">
        <f t="shared" ca="1" si="84"/>
        <v>"</v>
      </c>
      <c r="Q365" s="75" t="str">
        <f t="shared" si="75"/>
        <v/>
      </c>
      <c r="R365" s="5" t="str">
        <f t="shared" si="76"/>
        <v/>
      </c>
      <c r="S365" s="5" t="str">
        <f t="shared" si="74"/>
        <v/>
      </c>
      <c r="T365" s="76" t="str">
        <f t="shared" si="77"/>
        <v/>
      </c>
      <c r="U365" s="5">
        <f t="shared" si="83"/>
        <v>0</v>
      </c>
      <c r="V365" s="5">
        <f t="shared" si="83"/>
        <v>0</v>
      </c>
      <c r="W365" s="77" t="str">
        <f t="shared" si="79"/>
        <v/>
      </c>
      <c r="X365" s="65" t="str">
        <f t="shared" si="80"/>
        <v/>
      </c>
      <c r="Y365" s="78" t="str">
        <f t="shared" si="81"/>
        <v/>
      </c>
      <c r="Z365" s="21"/>
      <c r="AA365" s="138"/>
      <c r="AB365" s="21"/>
    </row>
    <row r="366" spans="1:28" x14ac:dyDescent="0.25">
      <c r="A366" s="21"/>
      <c r="B366" s="18"/>
      <c r="C366" s="85" t="str">
        <f>IF(B366="","",INDEX(Elements!B:B,MATCH(Design!B366,Elements!A:A,0)))</f>
        <v/>
      </c>
      <c r="D366" s="13"/>
      <c r="E366" s="85" t="str">
        <f>IFERROR(IF(D366="","",INDEX(Elements!J:J,MATCH(Design!D366,Elements!I:I,0))),SUBSTITUTE(D366," ",""))</f>
        <v/>
      </c>
      <c r="F366" s="13"/>
      <c r="G366" s="84" t="str">
        <f>IFERROR(IF(F366="","",INDEX(Elements!L:L,MATCH(Design!F366,Elements!K:K,0))),F366)</f>
        <v/>
      </c>
      <c r="H366" s="12"/>
      <c r="I366" s="14"/>
      <c r="J366" s="63" t="str">
        <f t="shared" ca="1" si="82"/>
        <v>columnHeaders</v>
      </c>
      <c r="K366" s="63">
        <f t="shared" ca="1" si="73"/>
        <v>0</v>
      </c>
      <c r="L366" s="63" t="str">
        <f ca="1">IF(K366="fontFamily","fontFamily",IF(K366="fontSize","fontSize",IFERROR(INDEX(Elements!M:M,MATCH(Design!J366&amp;"|"&amp;Design!K366,Elements!N:N,0)),"")))</f>
        <v/>
      </c>
      <c r="M366" s="65" t="str">
        <f ca="1">IF(OR(L366="",L366="fill"),"",MATCH(IF(L366="enumeration",J366&amp;"|"&amp;G366,Design!L366),Elements!N:N,0))</f>
        <v/>
      </c>
      <c r="N366" s="65" t="str">
        <f t="shared" si="78"/>
        <v/>
      </c>
      <c r="O366" s="65" t="str">
        <f ca="1">"Elements!"&amp;INDEX(Elements!H:H,MATCH(Design!J366,Elements!J:J,0))</f>
        <v>Elements!K36:K44</v>
      </c>
      <c r="P366" s="65" t="str">
        <f t="shared" ca="1" si="84"/>
        <v>"</v>
      </c>
      <c r="Q366" s="75" t="str">
        <f t="shared" si="75"/>
        <v/>
      </c>
      <c r="R366" s="5" t="str">
        <f t="shared" si="76"/>
        <v/>
      </c>
      <c r="S366" s="5" t="str">
        <f t="shared" si="74"/>
        <v/>
      </c>
      <c r="T366" s="76" t="str">
        <f t="shared" si="77"/>
        <v/>
      </c>
      <c r="U366" s="5">
        <f t="shared" si="83"/>
        <v>0</v>
      </c>
      <c r="V366" s="5">
        <f t="shared" si="83"/>
        <v>0</v>
      </c>
      <c r="W366" s="77" t="str">
        <f t="shared" si="79"/>
        <v/>
      </c>
      <c r="X366" s="65" t="str">
        <f t="shared" si="80"/>
        <v/>
      </c>
      <c r="Y366" s="78" t="str">
        <f t="shared" si="81"/>
        <v/>
      </c>
      <c r="Z366" s="21"/>
      <c r="AA366" s="138"/>
      <c r="AB366" s="21"/>
    </row>
    <row r="367" spans="1:28" x14ac:dyDescent="0.25">
      <c r="A367" s="21"/>
      <c r="B367" s="18"/>
      <c r="C367" s="85" t="str">
        <f>IF(B367="","",INDEX(Elements!B:B,MATCH(Design!B367,Elements!A:A,0)))</f>
        <v/>
      </c>
      <c r="D367" s="13"/>
      <c r="E367" s="85" t="str">
        <f>IFERROR(IF(D367="","",INDEX(Elements!J:J,MATCH(Design!D367,Elements!I:I,0))),SUBSTITUTE(D367," ",""))</f>
        <v/>
      </c>
      <c r="F367" s="13"/>
      <c r="G367" s="84" t="str">
        <f>IFERROR(IF(F367="","",INDEX(Elements!L:L,MATCH(Design!F367,Elements!K:K,0))),F367)</f>
        <v/>
      </c>
      <c r="H367" s="12"/>
      <c r="I367" s="14"/>
      <c r="J367" s="63" t="str">
        <f t="shared" ca="1" si="82"/>
        <v>columnHeaders</v>
      </c>
      <c r="K367" s="63">
        <f t="shared" ca="1" si="73"/>
        <v>0</v>
      </c>
      <c r="L367" s="63" t="str">
        <f ca="1">IF(K367="fontFamily","fontFamily",IF(K367="fontSize","fontSize",IFERROR(INDEX(Elements!M:M,MATCH(Design!J367&amp;"|"&amp;Design!K367,Elements!N:N,0)),"")))</f>
        <v/>
      </c>
      <c r="M367" s="65" t="str">
        <f ca="1">IF(OR(L367="",L367="fill"),"",MATCH(IF(L367="enumeration",J367&amp;"|"&amp;G367,Design!L367),Elements!N:N,0))</f>
        <v/>
      </c>
      <c r="N367" s="65" t="str">
        <f t="shared" si="78"/>
        <v/>
      </c>
      <c r="O367" s="65" t="str">
        <f ca="1">"Elements!"&amp;INDEX(Elements!H:H,MATCH(Design!J367,Elements!J:J,0))</f>
        <v>Elements!K36:K44</v>
      </c>
      <c r="P367" s="65" t="str">
        <f t="shared" ca="1" si="84"/>
        <v>"</v>
      </c>
      <c r="Q367" s="75" t="str">
        <f t="shared" si="75"/>
        <v/>
      </c>
      <c r="R367" s="5" t="str">
        <f t="shared" si="76"/>
        <v/>
      </c>
      <c r="S367" s="5" t="str">
        <f t="shared" si="74"/>
        <v/>
      </c>
      <c r="T367" s="76" t="str">
        <f t="shared" si="77"/>
        <v/>
      </c>
      <c r="U367" s="5">
        <f t="shared" si="83"/>
        <v>0</v>
      </c>
      <c r="V367" s="5">
        <f t="shared" si="83"/>
        <v>0</v>
      </c>
      <c r="W367" s="77" t="str">
        <f t="shared" si="79"/>
        <v/>
      </c>
      <c r="X367" s="65" t="str">
        <f t="shared" si="80"/>
        <v/>
      </c>
      <c r="Y367" s="78" t="str">
        <f t="shared" si="81"/>
        <v/>
      </c>
      <c r="Z367" s="21"/>
      <c r="AA367" s="138"/>
      <c r="AB367" s="21"/>
    </row>
    <row r="368" spans="1:28" x14ac:dyDescent="0.25">
      <c r="A368" s="21"/>
      <c r="B368" s="18"/>
      <c r="C368" s="85" t="str">
        <f>IF(B368="","",INDEX(Elements!B:B,MATCH(Design!B368,Elements!A:A,0)))</f>
        <v/>
      </c>
      <c r="D368" s="13"/>
      <c r="E368" s="85" t="str">
        <f>IFERROR(IF(D368="","",INDEX(Elements!J:J,MATCH(Design!D368,Elements!I:I,0))),SUBSTITUTE(D368," ",""))</f>
        <v/>
      </c>
      <c r="F368" s="13"/>
      <c r="G368" s="84" t="str">
        <f>IFERROR(IF(F368="","",INDEX(Elements!L:L,MATCH(Design!F368,Elements!K:K,0))),F368)</f>
        <v/>
      </c>
      <c r="H368" s="12"/>
      <c r="I368" s="14"/>
      <c r="J368" s="63" t="str">
        <f t="shared" ca="1" si="82"/>
        <v>columnHeaders</v>
      </c>
      <c r="K368" s="63">
        <f t="shared" ca="1" si="73"/>
        <v>0</v>
      </c>
      <c r="L368" s="63" t="str">
        <f ca="1">IF(K368="fontFamily","fontFamily",IF(K368="fontSize","fontSize",IFERROR(INDEX(Elements!M:M,MATCH(Design!J368&amp;"|"&amp;Design!K368,Elements!N:N,0)),"")))</f>
        <v/>
      </c>
      <c r="M368" s="65" t="str">
        <f ca="1">IF(OR(L368="",L368="fill"),"",MATCH(IF(L368="enumeration",J368&amp;"|"&amp;G368,Design!L368),Elements!N:N,0))</f>
        <v/>
      </c>
      <c r="N368" s="65" t="str">
        <f t="shared" si="78"/>
        <v/>
      </c>
      <c r="O368" s="65" t="str">
        <f ca="1">"Elements!"&amp;INDEX(Elements!H:H,MATCH(Design!J368,Elements!J:J,0))</f>
        <v>Elements!K36:K44</v>
      </c>
      <c r="P368" s="65" t="str">
        <f t="shared" ca="1" si="84"/>
        <v>"</v>
      </c>
      <c r="Q368" s="75" t="str">
        <f t="shared" si="75"/>
        <v/>
      </c>
      <c r="R368" s="5" t="str">
        <f t="shared" si="76"/>
        <v/>
      </c>
      <c r="S368" s="5" t="str">
        <f t="shared" si="74"/>
        <v/>
      </c>
      <c r="T368" s="76" t="str">
        <f t="shared" si="77"/>
        <v/>
      </c>
      <c r="U368" s="5">
        <f t="shared" si="83"/>
        <v>0</v>
      </c>
      <c r="V368" s="5">
        <f t="shared" si="83"/>
        <v>0</v>
      </c>
      <c r="W368" s="77" t="str">
        <f t="shared" si="79"/>
        <v/>
      </c>
      <c r="X368" s="65" t="str">
        <f t="shared" si="80"/>
        <v/>
      </c>
      <c r="Y368" s="78" t="str">
        <f t="shared" si="81"/>
        <v/>
      </c>
      <c r="Z368" s="21"/>
      <c r="AA368" s="138"/>
      <c r="AB368" s="21"/>
    </row>
    <row r="369" spans="1:28" x14ac:dyDescent="0.25">
      <c r="A369" s="21"/>
      <c r="B369" s="18"/>
      <c r="C369" s="85" t="str">
        <f>IF(B369="","",INDEX(Elements!B:B,MATCH(Design!B369,Elements!A:A,0)))</f>
        <v/>
      </c>
      <c r="D369" s="13"/>
      <c r="E369" s="85" t="str">
        <f>IFERROR(IF(D369="","",INDEX(Elements!J:J,MATCH(Design!D369,Elements!I:I,0))),SUBSTITUTE(D369," ",""))</f>
        <v/>
      </c>
      <c r="F369" s="13"/>
      <c r="G369" s="84" t="str">
        <f>IFERROR(IF(F369="","",INDEX(Elements!L:L,MATCH(Design!F369,Elements!K:K,0))),F369)</f>
        <v/>
      </c>
      <c r="H369" s="12"/>
      <c r="I369" s="14"/>
      <c r="J369" s="63" t="str">
        <f t="shared" ca="1" si="82"/>
        <v>columnHeaders</v>
      </c>
      <c r="K369" s="63">
        <f t="shared" ca="1" si="73"/>
        <v>0</v>
      </c>
      <c r="L369" s="63" t="str">
        <f ca="1">IF(K369="fontFamily","fontFamily",IF(K369="fontSize","fontSize",IFERROR(INDEX(Elements!M:M,MATCH(Design!J369&amp;"|"&amp;Design!K369,Elements!N:N,0)),"")))</f>
        <v/>
      </c>
      <c r="M369" s="65" t="str">
        <f ca="1">IF(OR(L369="",L369="fill"),"",MATCH(IF(L369="enumeration",J369&amp;"|"&amp;G369,Design!L369),Elements!N:N,0))</f>
        <v/>
      </c>
      <c r="N369" s="65" t="str">
        <f t="shared" si="78"/>
        <v/>
      </c>
      <c r="O369" s="65" t="str">
        <f ca="1">"Elements!"&amp;INDEX(Elements!H:H,MATCH(Design!J369,Elements!J:J,0))</f>
        <v>Elements!K36:K44</v>
      </c>
      <c r="P369" s="65" t="str">
        <f t="shared" ca="1" si="84"/>
        <v>"</v>
      </c>
      <c r="Q369" s="75" t="str">
        <f t="shared" si="75"/>
        <v/>
      </c>
      <c r="R369" s="5" t="str">
        <f t="shared" si="76"/>
        <v/>
      </c>
      <c r="S369" s="5" t="str">
        <f t="shared" si="74"/>
        <v/>
      </c>
      <c r="T369" s="76" t="str">
        <f t="shared" si="77"/>
        <v/>
      </c>
      <c r="U369" s="5">
        <f t="shared" si="83"/>
        <v>0</v>
      </c>
      <c r="V369" s="5">
        <f t="shared" si="83"/>
        <v>0</v>
      </c>
      <c r="W369" s="77" t="str">
        <f t="shared" si="79"/>
        <v/>
      </c>
      <c r="X369" s="65" t="str">
        <f t="shared" si="80"/>
        <v/>
      </c>
      <c r="Y369" s="78" t="str">
        <f t="shared" si="81"/>
        <v/>
      </c>
      <c r="Z369" s="21"/>
      <c r="AA369" s="138"/>
      <c r="AB369" s="21"/>
    </row>
    <row r="370" spans="1:28" x14ac:dyDescent="0.25">
      <c r="A370" s="21"/>
      <c r="B370" s="18"/>
      <c r="C370" s="85" t="str">
        <f>IF(B370="","",INDEX(Elements!B:B,MATCH(Design!B370,Elements!A:A,0)))</f>
        <v/>
      </c>
      <c r="D370" s="13"/>
      <c r="E370" s="85" t="str">
        <f>IFERROR(IF(D370="","",INDEX(Elements!J:J,MATCH(Design!D370,Elements!I:I,0))),SUBSTITUTE(D370," ",""))</f>
        <v/>
      </c>
      <c r="F370" s="13"/>
      <c r="G370" s="84" t="str">
        <f>IFERROR(IF(F370="","",INDEX(Elements!L:L,MATCH(Design!F370,Elements!K:K,0))),F370)</f>
        <v/>
      </c>
      <c r="H370" s="12"/>
      <c r="I370" s="14"/>
      <c r="J370" s="63" t="str">
        <f t="shared" ca="1" si="82"/>
        <v>columnHeaders</v>
      </c>
      <c r="K370" s="63">
        <f t="shared" ca="1" si="73"/>
        <v>0</v>
      </c>
      <c r="L370" s="63" t="str">
        <f ca="1">IF(K370="fontFamily","fontFamily",IF(K370="fontSize","fontSize",IFERROR(INDEX(Elements!M:M,MATCH(Design!J370&amp;"|"&amp;Design!K370,Elements!N:N,0)),"")))</f>
        <v/>
      </c>
      <c r="M370" s="65" t="str">
        <f ca="1">IF(OR(L370="",L370="fill"),"",MATCH(IF(L370="enumeration",J370&amp;"|"&amp;G370,Design!L370),Elements!N:N,0))</f>
        <v/>
      </c>
      <c r="N370" s="65" t="str">
        <f t="shared" si="78"/>
        <v/>
      </c>
      <c r="O370" s="65" t="str">
        <f ca="1">"Elements!"&amp;INDEX(Elements!H:H,MATCH(Design!J370,Elements!J:J,0))</f>
        <v>Elements!K36:K44</v>
      </c>
      <c r="P370" s="65" t="str">
        <f t="shared" ca="1" si="84"/>
        <v>"</v>
      </c>
      <c r="Q370" s="75" t="str">
        <f t="shared" si="75"/>
        <v/>
      </c>
      <c r="R370" s="5" t="str">
        <f t="shared" si="76"/>
        <v/>
      </c>
      <c r="S370" s="5" t="str">
        <f t="shared" si="74"/>
        <v/>
      </c>
      <c r="T370" s="76" t="str">
        <f t="shared" si="77"/>
        <v/>
      </c>
      <c r="U370" s="5">
        <f t="shared" si="83"/>
        <v>0</v>
      </c>
      <c r="V370" s="5">
        <f t="shared" si="83"/>
        <v>0</v>
      </c>
      <c r="W370" s="77" t="str">
        <f t="shared" si="79"/>
        <v/>
      </c>
      <c r="X370" s="65" t="str">
        <f t="shared" si="80"/>
        <v/>
      </c>
      <c r="Y370" s="78" t="str">
        <f t="shared" si="81"/>
        <v/>
      </c>
      <c r="Z370" s="21"/>
      <c r="AA370" s="138"/>
      <c r="AB370" s="21"/>
    </row>
    <row r="371" spans="1:28" x14ac:dyDescent="0.25">
      <c r="A371" s="21"/>
      <c r="B371" s="18"/>
      <c r="C371" s="85" t="str">
        <f>IF(B371="","",INDEX(Elements!B:B,MATCH(Design!B371,Elements!A:A,0)))</f>
        <v/>
      </c>
      <c r="D371" s="13"/>
      <c r="E371" s="85" t="str">
        <f>IFERROR(IF(D371="","",INDEX(Elements!J:J,MATCH(Design!D371,Elements!I:I,0))),SUBSTITUTE(D371," ",""))</f>
        <v/>
      </c>
      <c r="F371" s="13"/>
      <c r="G371" s="84" t="str">
        <f>IFERROR(IF(F371="","",INDEX(Elements!L:L,MATCH(Design!F371,Elements!K:K,0))),F371)</f>
        <v/>
      </c>
      <c r="H371" s="12"/>
      <c r="I371" s="14"/>
      <c r="J371" s="63" t="str">
        <f t="shared" ca="1" si="82"/>
        <v>columnHeaders</v>
      </c>
      <c r="K371" s="63">
        <f t="shared" ca="1" si="73"/>
        <v>0</v>
      </c>
      <c r="L371" s="63" t="str">
        <f ca="1">IF(K371="fontFamily","fontFamily",IF(K371="fontSize","fontSize",IFERROR(INDEX(Elements!M:M,MATCH(Design!J371&amp;"|"&amp;Design!K371,Elements!N:N,0)),"")))</f>
        <v/>
      </c>
      <c r="M371" s="65" t="str">
        <f ca="1">IF(OR(L371="",L371="fill"),"",MATCH(IF(L371="enumeration",J371&amp;"|"&amp;G371,Design!L371),Elements!N:N,0))</f>
        <v/>
      </c>
      <c r="N371" s="65" t="str">
        <f t="shared" si="78"/>
        <v/>
      </c>
      <c r="O371" s="65" t="str">
        <f ca="1">"Elements!"&amp;INDEX(Elements!H:H,MATCH(Design!J371,Elements!J:J,0))</f>
        <v>Elements!K36:K44</v>
      </c>
      <c r="P371" s="65" t="str">
        <f t="shared" ca="1" si="84"/>
        <v>"</v>
      </c>
      <c r="Q371" s="75" t="str">
        <f t="shared" si="75"/>
        <v/>
      </c>
      <c r="R371" s="5" t="str">
        <f t="shared" si="76"/>
        <v/>
      </c>
      <c r="S371" s="5" t="str">
        <f t="shared" si="74"/>
        <v/>
      </c>
      <c r="T371" s="76" t="str">
        <f t="shared" si="77"/>
        <v/>
      </c>
      <c r="U371" s="5">
        <f t="shared" si="83"/>
        <v>0</v>
      </c>
      <c r="V371" s="5">
        <f t="shared" si="83"/>
        <v>0</v>
      </c>
      <c r="W371" s="77" t="str">
        <f t="shared" si="79"/>
        <v/>
      </c>
      <c r="X371" s="65" t="str">
        <f t="shared" si="80"/>
        <v/>
      </c>
      <c r="Y371" s="78" t="str">
        <f t="shared" si="81"/>
        <v/>
      </c>
      <c r="Z371" s="21"/>
      <c r="AA371" s="138"/>
      <c r="AB371" s="21"/>
    </row>
    <row r="372" spans="1:28" x14ac:dyDescent="0.25">
      <c r="A372" s="21"/>
      <c r="B372" s="18"/>
      <c r="C372" s="85" t="str">
        <f>IF(B372="","",INDEX(Elements!B:B,MATCH(Design!B372,Elements!A:A,0)))</f>
        <v/>
      </c>
      <c r="D372" s="13"/>
      <c r="E372" s="85" t="str">
        <f>IFERROR(IF(D372="","",INDEX(Elements!J:J,MATCH(Design!D372,Elements!I:I,0))),SUBSTITUTE(D372," ",""))</f>
        <v/>
      </c>
      <c r="F372" s="13"/>
      <c r="G372" s="84" t="str">
        <f>IFERROR(IF(F372="","",INDEX(Elements!L:L,MATCH(Design!F372,Elements!K:K,0))),F372)</f>
        <v/>
      </c>
      <c r="H372" s="12"/>
      <c r="I372" s="14"/>
      <c r="J372" s="63" t="str">
        <f t="shared" ca="1" si="82"/>
        <v>columnHeaders</v>
      </c>
      <c r="K372" s="63">
        <f t="shared" ca="1" si="73"/>
        <v>0</v>
      </c>
      <c r="L372" s="63" t="str">
        <f ca="1">IF(K372="fontFamily","fontFamily",IF(K372="fontSize","fontSize",IFERROR(INDEX(Elements!M:M,MATCH(Design!J372&amp;"|"&amp;Design!K372,Elements!N:N,0)),"")))</f>
        <v/>
      </c>
      <c r="M372" s="65" t="str">
        <f ca="1">IF(OR(L372="",L372="fill"),"",MATCH(IF(L372="enumeration",J372&amp;"|"&amp;G372,Design!L372),Elements!N:N,0))</f>
        <v/>
      </c>
      <c r="N372" s="65" t="str">
        <f t="shared" si="78"/>
        <v/>
      </c>
      <c r="O372" s="65" t="str">
        <f ca="1">"Elements!"&amp;INDEX(Elements!H:H,MATCH(Design!J372,Elements!J:J,0))</f>
        <v>Elements!K36:K44</v>
      </c>
      <c r="P372" s="65" t="str">
        <f t="shared" ca="1" si="84"/>
        <v>"</v>
      </c>
      <c r="Q372" s="75" t="str">
        <f t="shared" si="75"/>
        <v/>
      </c>
      <c r="R372" s="5" t="str">
        <f t="shared" si="76"/>
        <v/>
      </c>
      <c r="S372" s="5" t="str">
        <f t="shared" si="74"/>
        <v/>
      </c>
      <c r="T372" s="76" t="str">
        <f t="shared" si="77"/>
        <v/>
      </c>
      <c r="U372" s="5">
        <f t="shared" si="83"/>
        <v>0</v>
      </c>
      <c r="V372" s="5">
        <f t="shared" si="83"/>
        <v>0</v>
      </c>
      <c r="W372" s="77" t="str">
        <f t="shared" si="79"/>
        <v/>
      </c>
      <c r="X372" s="65" t="str">
        <f t="shared" si="80"/>
        <v/>
      </c>
      <c r="Y372" s="78" t="str">
        <f t="shared" si="81"/>
        <v/>
      </c>
      <c r="Z372" s="21"/>
      <c r="AA372" s="138"/>
      <c r="AB372" s="21"/>
    </row>
    <row r="373" spans="1:28" x14ac:dyDescent="0.25">
      <c r="A373" s="21"/>
      <c r="B373" s="18"/>
      <c r="C373" s="85" t="str">
        <f>IF(B373="","",INDEX(Elements!B:B,MATCH(Design!B373,Elements!A:A,0)))</f>
        <v/>
      </c>
      <c r="D373" s="13"/>
      <c r="E373" s="85" t="str">
        <f>IFERROR(IF(D373="","",INDEX(Elements!J:J,MATCH(Design!D373,Elements!I:I,0))),SUBSTITUTE(D373," ",""))</f>
        <v/>
      </c>
      <c r="F373" s="13"/>
      <c r="G373" s="84" t="str">
        <f>IFERROR(IF(F373="","",INDEX(Elements!L:L,MATCH(Design!F373,Elements!K:K,0))),F373)</f>
        <v/>
      </c>
      <c r="H373" s="12"/>
      <c r="I373" s="14"/>
      <c r="J373" s="63" t="str">
        <f t="shared" ca="1" si="82"/>
        <v>columnHeaders</v>
      </c>
      <c r="K373" s="63">
        <f t="shared" ca="1" si="73"/>
        <v>0</v>
      </c>
      <c r="L373" s="63" t="str">
        <f ca="1">IF(K373="fontFamily","fontFamily",IF(K373="fontSize","fontSize",IFERROR(INDEX(Elements!M:M,MATCH(Design!J373&amp;"|"&amp;Design!K373,Elements!N:N,0)),"")))</f>
        <v/>
      </c>
      <c r="M373" s="65" t="str">
        <f ca="1">IF(OR(L373="",L373="fill"),"",MATCH(IF(L373="enumeration",J373&amp;"|"&amp;G373,Design!L373),Elements!N:N,0))</f>
        <v/>
      </c>
      <c r="N373" s="65" t="str">
        <f t="shared" si="78"/>
        <v/>
      </c>
      <c r="O373" s="65" t="str">
        <f ca="1">"Elements!"&amp;INDEX(Elements!H:H,MATCH(Design!J373,Elements!J:J,0))</f>
        <v>Elements!K36:K44</v>
      </c>
      <c r="P373" s="65" t="str">
        <f t="shared" ca="1" si="84"/>
        <v>"</v>
      </c>
      <c r="Q373" s="75" t="str">
        <f t="shared" si="75"/>
        <v/>
      </c>
      <c r="R373" s="5" t="str">
        <f t="shared" si="76"/>
        <v/>
      </c>
      <c r="S373" s="5" t="str">
        <f t="shared" si="74"/>
        <v/>
      </c>
      <c r="T373" s="76" t="str">
        <f t="shared" si="77"/>
        <v/>
      </c>
      <c r="U373" s="5">
        <f t="shared" si="83"/>
        <v>0</v>
      </c>
      <c r="V373" s="5">
        <f t="shared" si="83"/>
        <v>0</v>
      </c>
      <c r="W373" s="77" t="str">
        <f t="shared" si="79"/>
        <v/>
      </c>
      <c r="X373" s="65" t="str">
        <f t="shared" si="80"/>
        <v/>
      </c>
      <c r="Y373" s="78" t="str">
        <f t="shared" si="81"/>
        <v/>
      </c>
      <c r="Z373" s="21"/>
      <c r="AA373" s="138"/>
      <c r="AB373" s="21"/>
    </row>
    <row r="374" spans="1:28" x14ac:dyDescent="0.25">
      <c r="A374" s="21"/>
      <c r="B374" s="18"/>
      <c r="C374" s="85" t="str">
        <f>IF(B374="","",INDEX(Elements!B:B,MATCH(Design!B374,Elements!A:A,0)))</f>
        <v/>
      </c>
      <c r="D374" s="13"/>
      <c r="E374" s="85" t="str">
        <f>IFERROR(IF(D374="","",INDEX(Elements!J:J,MATCH(Design!D374,Elements!I:I,0))),SUBSTITUTE(D374," ",""))</f>
        <v/>
      </c>
      <c r="F374" s="13"/>
      <c r="G374" s="84" t="str">
        <f>IFERROR(IF(F374="","",INDEX(Elements!L:L,MATCH(Design!F374,Elements!K:K,0))),F374)</f>
        <v/>
      </c>
      <c r="H374" s="12"/>
      <c r="I374" s="14"/>
      <c r="J374" s="63" t="str">
        <f t="shared" ca="1" si="82"/>
        <v>columnHeaders</v>
      </c>
      <c r="K374" s="63">
        <f t="shared" ca="1" si="73"/>
        <v>0</v>
      </c>
      <c r="L374" s="63" t="str">
        <f ca="1">IF(K374="fontFamily","fontFamily",IF(K374="fontSize","fontSize",IFERROR(INDEX(Elements!M:M,MATCH(Design!J374&amp;"|"&amp;Design!K374,Elements!N:N,0)),"")))</f>
        <v/>
      </c>
      <c r="M374" s="65" t="str">
        <f ca="1">IF(OR(L374="",L374="fill"),"",MATCH(IF(L374="enumeration",J374&amp;"|"&amp;G374,Design!L374),Elements!N:N,0))</f>
        <v/>
      </c>
      <c r="N374" s="65" t="str">
        <f t="shared" si="78"/>
        <v/>
      </c>
      <c r="O374" s="65" t="str">
        <f ca="1">"Elements!"&amp;INDEX(Elements!H:H,MATCH(Design!J374,Elements!J:J,0))</f>
        <v>Elements!K36:K44</v>
      </c>
      <c r="P374" s="65" t="str">
        <f t="shared" ca="1" si="84"/>
        <v>"</v>
      </c>
      <c r="Q374" s="75" t="str">
        <f t="shared" si="75"/>
        <v/>
      </c>
      <c r="R374" s="5" t="str">
        <f t="shared" si="76"/>
        <v/>
      </c>
      <c r="S374" s="5" t="str">
        <f t="shared" si="74"/>
        <v/>
      </c>
      <c r="T374" s="76" t="str">
        <f t="shared" si="77"/>
        <v/>
      </c>
      <c r="U374" s="5">
        <f t="shared" si="83"/>
        <v>0</v>
      </c>
      <c r="V374" s="5">
        <f t="shared" si="83"/>
        <v>0</v>
      </c>
      <c r="W374" s="77" t="str">
        <f t="shared" si="79"/>
        <v/>
      </c>
      <c r="X374" s="65" t="str">
        <f t="shared" si="80"/>
        <v/>
      </c>
      <c r="Y374" s="78" t="str">
        <f t="shared" si="81"/>
        <v/>
      </c>
      <c r="Z374" s="21"/>
      <c r="AA374" s="138"/>
      <c r="AB374" s="21"/>
    </row>
    <row r="375" spans="1:28" x14ac:dyDescent="0.25">
      <c r="A375" s="21"/>
      <c r="B375" s="18"/>
      <c r="C375" s="85" t="str">
        <f>IF(B375="","",INDEX(Elements!B:B,MATCH(Design!B375,Elements!A:A,0)))</f>
        <v/>
      </c>
      <c r="D375" s="13"/>
      <c r="E375" s="85" t="str">
        <f>IFERROR(IF(D375="","",INDEX(Elements!J:J,MATCH(Design!D375,Elements!I:I,0))),SUBSTITUTE(D375," ",""))</f>
        <v/>
      </c>
      <c r="F375" s="13"/>
      <c r="G375" s="84" t="str">
        <f>IFERROR(IF(F375="","",INDEX(Elements!L:L,MATCH(Design!F375,Elements!K:K,0))),F375)</f>
        <v/>
      </c>
      <c r="H375" s="12"/>
      <c r="I375" s="14"/>
      <c r="J375" s="63" t="str">
        <f t="shared" ca="1" si="82"/>
        <v>columnHeaders</v>
      </c>
      <c r="K375" s="63">
        <f t="shared" ca="1" si="73"/>
        <v>0</v>
      </c>
      <c r="L375" s="63" t="str">
        <f ca="1">IF(K375="fontFamily","fontFamily",IF(K375="fontSize","fontSize",IFERROR(INDEX(Elements!M:M,MATCH(Design!J375&amp;"|"&amp;Design!K375,Elements!N:N,0)),"")))</f>
        <v/>
      </c>
      <c r="M375" s="65" t="str">
        <f ca="1">IF(OR(L375="",L375="fill"),"",MATCH(IF(L375="enumeration",J375&amp;"|"&amp;G375,Design!L375),Elements!N:N,0))</f>
        <v/>
      </c>
      <c r="N375" s="65" t="str">
        <f t="shared" si="78"/>
        <v/>
      </c>
      <c r="O375" s="65" t="str">
        <f ca="1">"Elements!"&amp;INDEX(Elements!H:H,MATCH(Design!J375,Elements!J:J,0))</f>
        <v>Elements!K36:K44</v>
      </c>
      <c r="P375" s="65" t="str">
        <f t="shared" ca="1" si="84"/>
        <v>"</v>
      </c>
      <c r="Q375" s="75" t="str">
        <f t="shared" si="75"/>
        <v/>
      </c>
      <c r="R375" s="5" t="str">
        <f t="shared" si="76"/>
        <v/>
      </c>
      <c r="S375" s="5" t="str">
        <f t="shared" si="74"/>
        <v/>
      </c>
      <c r="T375" s="76" t="str">
        <f t="shared" si="77"/>
        <v/>
      </c>
      <c r="U375" s="5">
        <f t="shared" si="83"/>
        <v>0</v>
      </c>
      <c r="V375" s="5">
        <f t="shared" si="83"/>
        <v>0</v>
      </c>
      <c r="W375" s="77" t="str">
        <f t="shared" si="79"/>
        <v/>
      </c>
      <c r="X375" s="65" t="str">
        <f t="shared" si="80"/>
        <v/>
      </c>
      <c r="Y375" s="78" t="str">
        <f t="shared" si="81"/>
        <v/>
      </c>
      <c r="Z375" s="21"/>
      <c r="AA375" s="138"/>
      <c r="AB375" s="21"/>
    </row>
    <row r="376" spans="1:28" x14ac:dyDescent="0.25">
      <c r="A376" s="21"/>
      <c r="B376" s="18"/>
      <c r="C376" s="85" t="str">
        <f>IF(B376="","",INDEX(Elements!B:B,MATCH(Design!B376,Elements!A:A,0)))</f>
        <v/>
      </c>
      <c r="D376" s="13"/>
      <c r="E376" s="85" t="str">
        <f>IFERROR(IF(D376="","",INDEX(Elements!J:J,MATCH(Design!D376,Elements!I:I,0))),SUBSTITUTE(D376," ",""))</f>
        <v/>
      </c>
      <c r="F376" s="13"/>
      <c r="G376" s="84" t="str">
        <f>IFERROR(IF(F376="","",INDEX(Elements!L:L,MATCH(Design!F376,Elements!K:K,0))),F376)</f>
        <v/>
      </c>
      <c r="H376" s="12"/>
      <c r="I376" s="14"/>
      <c r="J376" s="63" t="str">
        <f t="shared" ca="1" si="82"/>
        <v>columnHeaders</v>
      </c>
      <c r="K376" s="63">
        <f t="shared" ca="1" si="73"/>
        <v>0</v>
      </c>
      <c r="L376" s="63" t="str">
        <f ca="1">IF(K376="fontFamily","fontFamily",IF(K376="fontSize","fontSize",IFERROR(INDEX(Elements!M:M,MATCH(Design!J376&amp;"|"&amp;Design!K376,Elements!N:N,0)),"")))</f>
        <v/>
      </c>
      <c r="M376" s="65" t="str">
        <f ca="1">IF(OR(L376="",L376="fill"),"",MATCH(IF(L376="enumeration",J376&amp;"|"&amp;G376,Design!L376),Elements!N:N,0))</f>
        <v/>
      </c>
      <c r="N376" s="65" t="str">
        <f t="shared" si="78"/>
        <v/>
      </c>
      <c r="O376" s="65" t="str">
        <f ca="1">"Elements!"&amp;INDEX(Elements!H:H,MATCH(Design!J376,Elements!J:J,0))</f>
        <v>Elements!K36:K44</v>
      </c>
      <c r="P376" s="65" t="str">
        <f t="shared" ca="1" si="84"/>
        <v>"</v>
      </c>
      <c r="Q376" s="75" t="str">
        <f t="shared" si="75"/>
        <v/>
      </c>
      <c r="R376" s="5" t="str">
        <f t="shared" si="76"/>
        <v/>
      </c>
      <c r="S376" s="5" t="str">
        <f t="shared" si="74"/>
        <v/>
      </c>
      <c r="T376" s="76" t="str">
        <f t="shared" si="77"/>
        <v/>
      </c>
      <c r="U376" s="5">
        <f t="shared" ref="U376:V407" si="85">SUMPRODUCT(LEN($T376)-LEN(SUBSTITUTE($T376,U$2,"")))</f>
        <v>0</v>
      </c>
      <c r="V376" s="5">
        <f t="shared" si="85"/>
        <v>0</v>
      </c>
      <c r="W376" s="77" t="str">
        <f t="shared" si="79"/>
        <v/>
      </c>
      <c r="X376" s="65" t="str">
        <f t="shared" si="80"/>
        <v/>
      </c>
      <c r="Y376" s="78" t="str">
        <f t="shared" si="81"/>
        <v/>
      </c>
      <c r="Z376" s="21"/>
      <c r="AA376" s="138"/>
      <c r="AB376" s="21"/>
    </row>
    <row r="377" spans="1:28" x14ac:dyDescent="0.25">
      <c r="A377" s="21"/>
      <c r="B377" s="18"/>
      <c r="C377" s="85" t="str">
        <f>IF(B377="","",INDEX(Elements!B:B,MATCH(Design!B377,Elements!A:A,0)))</f>
        <v/>
      </c>
      <c r="D377" s="13"/>
      <c r="E377" s="85" t="str">
        <f>IFERROR(IF(D377="","",INDEX(Elements!J:J,MATCH(Design!D377,Elements!I:I,0))),SUBSTITUTE(D377," ",""))</f>
        <v/>
      </c>
      <c r="F377" s="13"/>
      <c r="G377" s="84" t="str">
        <f>IFERROR(IF(F377="","",INDEX(Elements!L:L,MATCH(Design!F377,Elements!K:K,0))),F377)</f>
        <v/>
      </c>
      <c r="H377" s="12"/>
      <c r="I377" s="14"/>
      <c r="J377" s="63" t="str">
        <f t="shared" ca="1" si="82"/>
        <v>columnHeaders</v>
      </c>
      <c r="K377" s="63">
        <f t="shared" ca="1" si="73"/>
        <v>0</v>
      </c>
      <c r="L377" s="63" t="str">
        <f ca="1">IF(K377="fontFamily","fontFamily",IF(K377="fontSize","fontSize",IFERROR(INDEX(Elements!M:M,MATCH(Design!J377&amp;"|"&amp;Design!K377,Elements!N:N,0)),"")))</f>
        <v/>
      </c>
      <c r="M377" s="65" t="str">
        <f ca="1">IF(OR(L377="",L377="fill"),"",MATCH(IF(L377="enumeration",J377&amp;"|"&amp;G377,Design!L377),Elements!N:N,0))</f>
        <v/>
      </c>
      <c r="N377" s="65" t="str">
        <f t="shared" si="78"/>
        <v/>
      </c>
      <c r="O377" s="65" t="str">
        <f ca="1">"Elements!"&amp;INDEX(Elements!H:H,MATCH(Design!J377,Elements!J:J,0))</f>
        <v>Elements!K36:K44</v>
      </c>
      <c r="P377" s="65" t="str">
        <f t="shared" ca="1" si="84"/>
        <v>"</v>
      </c>
      <c r="Q377" s="75" t="str">
        <f t="shared" si="75"/>
        <v/>
      </c>
      <c r="R377" s="5" t="str">
        <f t="shared" si="76"/>
        <v/>
      </c>
      <c r="S377" s="5" t="str">
        <f t="shared" si="74"/>
        <v/>
      </c>
      <c r="T377" s="76" t="str">
        <f t="shared" si="77"/>
        <v/>
      </c>
      <c r="U377" s="5">
        <f t="shared" si="85"/>
        <v>0</v>
      </c>
      <c r="V377" s="5">
        <f t="shared" si="85"/>
        <v>0</v>
      </c>
      <c r="W377" s="77" t="str">
        <f t="shared" si="79"/>
        <v/>
      </c>
      <c r="X377" s="65" t="str">
        <f t="shared" si="80"/>
        <v/>
      </c>
      <c r="Y377" s="78" t="str">
        <f t="shared" si="81"/>
        <v/>
      </c>
      <c r="Z377" s="21"/>
      <c r="AA377" s="138"/>
      <c r="AB377" s="21"/>
    </row>
    <row r="378" spans="1:28" x14ac:dyDescent="0.25">
      <c r="A378" s="21"/>
      <c r="B378" s="18"/>
      <c r="C378" s="85" t="str">
        <f>IF(B378="","",INDEX(Elements!B:B,MATCH(Design!B378,Elements!A:A,0)))</f>
        <v/>
      </c>
      <c r="D378" s="13"/>
      <c r="E378" s="85" t="str">
        <f>IFERROR(IF(D378="","",INDEX(Elements!J:J,MATCH(Design!D378,Elements!I:I,0))),SUBSTITUTE(D378," ",""))</f>
        <v/>
      </c>
      <c r="F378" s="13"/>
      <c r="G378" s="84" t="str">
        <f>IFERROR(IF(F378="","",INDEX(Elements!L:L,MATCH(Design!F378,Elements!K:K,0))),F378)</f>
        <v/>
      </c>
      <c r="H378" s="12"/>
      <c r="I378" s="14"/>
      <c r="J378" s="63" t="str">
        <f t="shared" ca="1" si="82"/>
        <v>columnHeaders</v>
      </c>
      <c r="K378" s="63">
        <f t="shared" ref="K378:K409" ca="1" si="86">IFERROR(IF(G378="",INDIRECT("I"&amp;ROW()-1),G378),"")</f>
        <v>0</v>
      </c>
      <c r="L378" s="63" t="str">
        <f ca="1">IF(K378="fontFamily","fontFamily",IF(K378="fontSize","fontSize",IFERROR(INDEX(Elements!M:M,MATCH(Design!J378&amp;"|"&amp;Design!K378,Elements!N:N,0)),"")))</f>
        <v/>
      </c>
      <c r="M378" s="65" t="str">
        <f ca="1">IF(OR(L378="",L378="fill"),"",MATCH(IF(L378="enumeration",J378&amp;"|"&amp;G378,Design!L378),Elements!N:N,0))</f>
        <v/>
      </c>
      <c r="N378" s="65" t="str">
        <f t="shared" si="78"/>
        <v/>
      </c>
      <c r="O378" s="65" t="str">
        <f ca="1">"Elements!"&amp;INDEX(Elements!H:H,MATCH(Design!J378,Elements!J:J,0))</f>
        <v>Elements!K36:K44</v>
      </c>
      <c r="P378" s="65" t="str">
        <f t="shared" ca="1" si="84"/>
        <v>"</v>
      </c>
      <c r="Q378" s="75" t="str">
        <f t="shared" si="75"/>
        <v/>
      </c>
      <c r="R378" s="5" t="str">
        <f t="shared" si="76"/>
        <v/>
      </c>
      <c r="S378" s="5" t="str">
        <f t="shared" ref="S378:S407" si="87">IF(G378="","",IF(G377&lt;&gt;"",",","")&amp;"{"&amp;CHAR(34)&amp;G378&amp;CHAR(34)&amp;":"&amp;P378&amp;H378&amp;I378&amp;P378&amp;"}")</f>
        <v/>
      </c>
      <c r="T378" s="76" t="str">
        <f t="shared" si="77"/>
        <v/>
      </c>
      <c r="U378" s="5">
        <f t="shared" si="85"/>
        <v>0</v>
      </c>
      <c r="V378" s="5">
        <f t="shared" si="85"/>
        <v>0</v>
      </c>
      <c r="W378" s="77" t="str">
        <f t="shared" si="79"/>
        <v/>
      </c>
      <c r="X378" s="65" t="str">
        <f t="shared" si="80"/>
        <v/>
      </c>
      <c r="Y378" s="78" t="str">
        <f t="shared" si="81"/>
        <v/>
      </c>
      <c r="Z378" s="21"/>
      <c r="AA378" s="138"/>
      <c r="AB378" s="21"/>
    </row>
    <row r="379" spans="1:28" x14ac:dyDescent="0.25">
      <c r="A379" s="21"/>
      <c r="B379" s="18"/>
      <c r="C379" s="85" t="str">
        <f>IF(B379="","",INDEX(Elements!B:B,MATCH(Design!B379,Elements!A:A,0)))</f>
        <v/>
      </c>
      <c r="D379" s="13"/>
      <c r="E379" s="85" t="str">
        <f>IFERROR(IF(D379="","",INDEX(Elements!J:J,MATCH(Design!D379,Elements!I:I,0))),SUBSTITUTE(D379," ",""))</f>
        <v/>
      </c>
      <c r="F379" s="13"/>
      <c r="G379" s="84" t="str">
        <f>IFERROR(IF(F379="","",INDEX(Elements!L:L,MATCH(Design!F379,Elements!K:K,0))),F379)</f>
        <v/>
      </c>
      <c r="H379" s="12"/>
      <c r="I379" s="14"/>
      <c r="J379" s="63" t="str">
        <f t="shared" ca="1" si="82"/>
        <v>columnHeaders</v>
      </c>
      <c r="K379" s="63">
        <f t="shared" ca="1" si="86"/>
        <v>0</v>
      </c>
      <c r="L379" s="63" t="str">
        <f ca="1">IF(K379="fontFamily","fontFamily",IF(K379="fontSize","fontSize",IFERROR(INDEX(Elements!M:M,MATCH(Design!J379&amp;"|"&amp;Design!K379,Elements!N:N,0)),"")))</f>
        <v/>
      </c>
      <c r="M379" s="65" t="str">
        <f ca="1">IF(OR(L379="",L379="fill"),"",MATCH(IF(L379="enumeration",J379&amp;"|"&amp;G379,Design!L379),Elements!N:N,0))</f>
        <v/>
      </c>
      <c r="N379" s="65" t="str">
        <f t="shared" si="78"/>
        <v/>
      </c>
      <c r="O379" s="65" t="str">
        <f ca="1">"Elements!"&amp;INDEX(Elements!H:H,MATCH(Design!J379,Elements!J:J,0))</f>
        <v>Elements!K36:K44</v>
      </c>
      <c r="P379" s="65" t="str">
        <f t="shared" ca="1" si="84"/>
        <v>"</v>
      </c>
      <c r="Q379" s="75" t="str">
        <f t="shared" ref="Q379:Q407" si="88">IF(C379&lt;&gt;"","}},"&amp;CHAR(34)&amp;C379&amp;CHAR(34)&amp;":{"&amp;CHAR(34)&amp;"*"&amp;CHAR(34)&amp;":{","")</f>
        <v/>
      </c>
      <c r="R379" s="5" t="str">
        <f t="shared" ref="R379:R407" si="89">IF(AND(S378&lt;&gt;"",G379=""),"]","")&amp;IF(E379="","",IF(C378="",",","")&amp;CHAR(34)&amp;E379&amp;CHAR(34)&amp;":[")</f>
        <v/>
      </c>
      <c r="S379" s="5" t="str">
        <f t="shared" si="87"/>
        <v/>
      </c>
      <c r="T379" s="76" t="str">
        <f t="shared" si="77"/>
        <v/>
      </c>
      <c r="U379" s="5">
        <f t="shared" si="85"/>
        <v>0</v>
      </c>
      <c r="V379" s="5">
        <f t="shared" si="85"/>
        <v>0</v>
      </c>
      <c r="W379" s="77" t="str">
        <f t="shared" si="79"/>
        <v/>
      </c>
      <c r="X379" s="65" t="str">
        <f t="shared" si="80"/>
        <v/>
      </c>
      <c r="Y379" s="78" t="str">
        <f t="shared" si="81"/>
        <v/>
      </c>
      <c r="Z379" s="21"/>
      <c r="AA379" s="138"/>
      <c r="AB379" s="21"/>
    </row>
    <row r="380" spans="1:28" x14ac:dyDescent="0.25">
      <c r="A380" s="21"/>
      <c r="B380" s="18"/>
      <c r="C380" s="85" t="str">
        <f>IF(B380="","",INDEX(Elements!B:B,MATCH(Design!B380,Elements!A:A,0)))</f>
        <v/>
      </c>
      <c r="D380" s="13"/>
      <c r="E380" s="85" t="str">
        <f>IFERROR(IF(D380="","",INDEX(Elements!J:J,MATCH(Design!D380,Elements!I:I,0))),SUBSTITUTE(D380," ",""))</f>
        <v/>
      </c>
      <c r="F380" s="13"/>
      <c r="G380" s="84" t="str">
        <f>IFERROR(IF(F380="","",INDEX(Elements!L:L,MATCH(Design!F380,Elements!K:K,0))),F380)</f>
        <v/>
      </c>
      <c r="H380" s="12"/>
      <c r="I380" s="14"/>
      <c r="J380" s="63" t="str">
        <f t="shared" ca="1" si="82"/>
        <v>columnHeaders</v>
      </c>
      <c r="K380" s="63">
        <f t="shared" ca="1" si="86"/>
        <v>0</v>
      </c>
      <c r="L380" s="63" t="str">
        <f ca="1">IF(K380="fontFamily","fontFamily",IF(K380="fontSize","fontSize",IFERROR(INDEX(Elements!M:M,MATCH(Design!J380&amp;"|"&amp;Design!K380,Elements!N:N,0)),"")))</f>
        <v/>
      </c>
      <c r="M380" s="65" t="str">
        <f ca="1">IF(OR(L380="",L380="fill"),"",MATCH(IF(L380="enumeration",J380&amp;"|"&amp;G380,Design!L380),Elements!N:N,0))</f>
        <v/>
      </c>
      <c r="N380" s="65" t="str">
        <f t="shared" si="78"/>
        <v/>
      </c>
      <c r="O380" s="65" t="str">
        <f ca="1">"Elements!"&amp;INDEX(Elements!H:H,MATCH(Design!J380,Elements!J:J,0))</f>
        <v>Elements!K36:K44</v>
      </c>
      <c r="P380" s="65" t="str">
        <f t="shared" ca="1" si="84"/>
        <v>"</v>
      </c>
      <c r="Q380" s="75" t="str">
        <f t="shared" si="88"/>
        <v/>
      </c>
      <c r="R380" s="5" t="str">
        <f t="shared" si="89"/>
        <v/>
      </c>
      <c r="S380" s="5" t="str">
        <f t="shared" si="87"/>
        <v/>
      </c>
      <c r="T380" s="76" t="str">
        <f t="shared" si="77"/>
        <v/>
      </c>
      <c r="U380" s="5">
        <f t="shared" si="85"/>
        <v>0</v>
      </c>
      <c r="V380" s="5">
        <f t="shared" si="85"/>
        <v>0</v>
      </c>
      <c r="W380" s="77" t="str">
        <f t="shared" si="79"/>
        <v/>
      </c>
      <c r="X380" s="65" t="str">
        <f t="shared" si="80"/>
        <v/>
      </c>
      <c r="Y380" s="78" t="str">
        <f t="shared" si="81"/>
        <v/>
      </c>
      <c r="Z380" s="21"/>
      <c r="AA380" s="138"/>
      <c r="AB380" s="21"/>
    </row>
    <row r="381" spans="1:28" x14ac:dyDescent="0.25">
      <c r="A381" s="21"/>
      <c r="B381" s="18"/>
      <c r="C381" s="85" t="str">
        <f>IF(B381="","",INDEX(Elements!B:B,MATCH(Design!B381,Elements!A:A,0)))</f>
        <v/>
      </c>
      <c r="D381" s="13"/>
      <c r="E381" s="85" t="str">
        <f>IFERROR(IF(D381="","",INDEX(Elements!J:J,MATCH(Design!D381,Elements!I:I,0))),SUBSTITUTE(D381," ",""))</f>
        <v/>
      </c>
      <c r="F381" s="13"/>
      <c r="G381" s="84" t="str">
        <f>IFERROR(IF(F381="","",INDEX(Elements!L:L,MATCH(Design!F381,Elements!K:K,0))),F381)</f>
        <v/>
      </c>
      <c r="H381" s="12"/>
      <c r="I381" s="14"/>
      <c r="J381" s="63" t="str">
        <f t="shared" ca="1" si="82"/>
        <v>columnHeaders</v>
      </c>
      <c r="K381" s="63">
        <f t="shared" ca="1" si="86"/>
        <v>0</v>
      </c>
      <c r="L381" s="63" t="str">
        <f ca="1">IF(K381="fontFamily","fontFamily",IF(K381="fontSize","fontSize",IFERROR(INDEX(Elements!M:M,MATCH(Design!J381&amp;"|"&amp;Design!K381,Elements!N:N,0)),"")))</f>
        <v/>
      </c>
      <c r="M381" s="65" t="str">
        <f ca="1">IF(OR(L381="",L381="fill"),"",MATCH(IF(L381="enumeration",J381&amp;"|"&amp;G381,Design!L381),Elements!N:N,0))</f>
        <v/>
      </c>
      <c r="N381" s="65" t="str">
        <f t="shared" si="78"/>
        <v/>
      </c>
      <c r="O381" s="65" t="str">
        <f ca="1">"Elements!"&amp;INDEX(Elements!H:H,MATCH(Design!J381,Elements!J:J,0))</f>
        <v>Elements!K36:K44</v>
      </c>
      <c r="P381" s="65" t="str">
        <f t="shared" ca="1" si="84"/>
        <v>"</v>
      </c>
      <c r="Q381" s="75" t="str">
        <f t="shared" si="88"/>
        <v/>
      </c>
      <c r="R381" s="5" t="str">
        <f t="shared" si="89"/>
        <v/>
      </c>
      <c r="S381" s="5" t="str">
        <f t="shared" si="87"/>
        <v/>
      </c>
      <c r="T381" s="76" t="str">
        <f t="shared" si="77"/>
        <v/>
      </c>
      <c r="U381" s="5">
        <f t="shared" si="85"/>
        <v>0</v>
      </c>
      <c r="V381" s="5">
        <f t="shared" si="85"/>
        <v>0</v>
      </c>
      <c r="W381" s="77" t="str">
        <f t="shared" si="79"/>
        <v/>
      </c>
      <c r="X381" s="65" t="str">
        <f t="shared" si="80"/>
        <v/>
      </c>
      <c r="Y381" s="78" t="str">
        <f t="shared" si="81"/>
        <v/>
      </c>
      <c r="Z381" s="21"/>
      <c r="AA381" s="138"/>
      <c r="AB381" s="21"/>
    </row>
    <row r="382" spans="1:28" x14ac:dyDescent="0.25">
      <c r="A382" s="21"/>
      <c r="B382" s="18"/>
      <c r="C382" s="85" t="str">
        <f>IF(B382="","",INDEX(Elements!B:B,MATCH(Design!B382,Elements!A:A,0)))</f>
        <v/>
      </c>
      <c r="D382" s="13"/>
      <c r="E382" s="85" t="str">
        <f>IFERROR(IF(D382="","",INDEX(Elements!J:J,MATCH(Design!D382,Elements!I:I,0))),SUBSTITUTE(D382," ",""))</f>
        <v/>
      </c>
      <c r="F382" s="13"/>
      <c r="G382" s="84" t="str">
        <f>IFERROR(IF(F382="","",INDEX(Elements!L:L,MATCH(Design!F382,Elements!K:K,0))),F382)</f>
        <v/>
      </c>
      <c r="H382" s="12"/>
      <c r="I382" s="14"/>
      <c r="J382" s="63" t="str">
        <f t="shared" ca="1" si="82"/>
        <v>columnHeaders</v>
      </c>
      <c r="K382" s="63">
        <f t="shared" ca="1" si="86"/>
        <v>0</v>
      </c>
      <c r="L382" s="63" t="str">
        <f ca="1">IF(K382="fontFamily","fontFamily",IF(K382="fontSize","fontSize",IFERROR(INDEX(Elements!M:M,MATCH(Design!J382&amp;"|"&amp;Design!K382,Elements!N:N,0)),"")))</f>
        <v/>
      </c>
      <c r="M382" s="65" t="str">
        <f ca="1">IF(OR(L382="",L382="fill"),"",MATCH(IF(L382="enumeration",J382&amp;"|"&amp;G382,Design!L382),Elements!N:N,0))</f>
        <v/>
      </c>
      <c r="N382" s="65" t="str">
        <f t="shared" si="78"/>
        <v/>
      </c>
      <c r="O382" s="65" t="str">
        <f ca="1">"Elements!"&amp;INDEX(Elements!H:H,MATCH(Design!J382,Elements!J:J,0))</f>
        <v>Elements!K36:K44</v>
      </c>
      <c r="P382" s="65" t="str">
        <f t="shared" ca="1" si="84"/>
        <v>"</v>
      </c>
      <c r="Q382" s="75" t="str">
        <f t="shared" si="88"/>
        <v/>
      </c>
      <c r="R382" s="5" t="str">
        <f t="shared" si="89"/>
        <v/>
      </c>
      <c r="S382" s="5" t="str">
        <f t="shared" si="87"/>
        <v/>
      </c>
      <c r="T382" s="76" t="str">
        <f t="shared" si="77"/>
        <v/>
      </c>
      <c r="U382" s="5">
        <f t="shared" si="85"/>
        <v>0</v>
      </c>
      <c r="V382" s="5">
        <f t="shared" si="85"/>
        <v>0</v>
      </c>
      <c r="W382" s="77" t="str">
        <f t="shared" si="79"/>
        <v/>
      </c>
      <c r="X382" s="65" t="str">
        <f t="shared" si="80"/>
        <v/>
      </c>
      <c r="Y382" s="78" t="str">
        <f t="shared" si="81"/>
        <v/>
      </c>
      <c r="Z382" s="21"/>
      <c r="AA382" s="138"/>
      <c r="AB382" s="21"/>
    </row>
    <row r="383" spans="1:28" x14ac:dyDescent="0.25">
      <c r="A383" s="21"/>
      <c r="B383" s="18"/>
      <c r="C383" s="85" t="str">
        <f>IF(B383="","",INDEX(Elements!B:B,MATCH(Design!B383,Elements!A:A,0)))</f>
        <v/>
      </c>
      <c r="D383" s="13"/>
      <c r="E383" s="85" t="str">
        <f>IFERROR(IF(D383="","",INDEX(Elements!J:J,MATCH(Design!D383,Elements!I:I,0))),SUBSTITUTE(D383," ",""))</f>
        <v/>
      </c>
      <c r="F383" s="13"/>
      <c r="G383" s="84" t="str">
        <f>IFERROR(IF(F383="","",INDEX(Elements!L:L,MATCH(Design!F383,Elements!K:K,0))),F383)</f>
        <v/>
      </c>
      <c r="H383" s="12"/>
      <c r="I383" s="14"/>
      <c r="J383" s="63" t="str">
        <f t="shared" ca="1" si="82"/>
        <v>columnHeaders</v>
      </c>
      <c r="K383" s="63">
        <f t="shared" ca="1" si="86"/>
        <v>0</v>
      </c>
      <c r="L383" s="63" t="str">
        <f ca="1">IF(K383="fontFamily","fontFamily",IF(K383="fontSize","fontSize",IFERROR(INDEX(Elements!M:M,MATCH(Design!J383&amp;"|"&amp;Design!K383,Elements!N:N,0)),"")))</f>
        <v/>
      </c>
      <c r="M383" s="65" t="str">
        <f ca="1">IF(OR(L383="",L383="fill"),"",MATCH(IF(L383="enumeration",J383&amp;"|"&amp;G383,Design!L383),Elements!N:N,0))</f>
        <v/>
      </c>
      <c r="N383" s="65" t="str">
        <f t="shared" si="78"/>
        <v/>
      </c>
      <c r="O383" s="65" t="str">
        <f ca="1">"Elements!"&amp;INDEX(Elements!H:H,MATCH(Design!J383,Elements!J:J,0))</f>
        <v>Elements!K36:K44</v>
      </c>
      <c r="P383" s="65" t="str">
        <f t="shared" ca="1" si="84"/>
        <v>"</v>
      </c>
      <c r="Q383" s="75" t="str">
        <f t="shared" si="88"/>
        <v/>
      </c>
      <c r="R383" s="5" t="str">
        <f t="shared" si="89"/>
        <v/>
      </c>
      <c r="S383" s="5" t="str">
        <f t="shared" si="87"/>
        <v/>
      </c>
      <c r="T383" s="76" t="str">
        <f t="shared" ref="T383:T407" si="90">R383&amp;S383&amp;Q383</f>
        <v/>
      </c>
      <c r="U383" s="5">
        <f t="shared" si="85"/>
        <v>0</v>
      </c>
      <c r="V383" s="5">
        <f t="shared" si="85"/>
        <v>0</v>
      </c>
      <c r="W383" s="77" t="str">
        <f t="shared" si="79"/>
        <v/>
      </c>
      <c r="X383" s="65" t="str">
        <f t="shared" si="80"/>
        <v/>
      </c>
      <c r="Y383" s="78" t="str">
        <f t="shared" si="81"/>
        <v/>
      </c>
      <c r="Z383" s="21"/>
      <c r="AA383" s="138"/>
      <c r="AB383" s="21"/>
    </row>
    <row r="384" spans="1:28" x14ac:dyDescent="0.25">
      <c r="A384" s="21"/>
      <c r="B384" s="18"/>
      <c r="C384" s="85" t="str">
        <f>IF(B384="","",INDEX(Elements!B:B,MATCH(Design!B384,Elements!A:A,0)))</f>
        <v/>
      </c>
      <c r="D384" s="13"/>
      <c r="E384" s="85" t="str">
        <f>IFERROR(IF(D384="","",INDEX(Elements!J:J,MATCH(Design!D384,Elements!I:I,0))),SUBSTITUTE(D384," ",""))</f>
        <v/>
      </c>
      <c r="F384" s="13"/>
      <c r="G384" s="84" t="str">
        <f>IFERROR(IF(F384="","",INDEX(Elements!L:L,MATCH(Design!F384,Elements!K:K,0))),F384)</f>
        <v/>
      </c>
      <c r="H384" s="12"/>
      <c r="I384" s="14"/>
      <c r="J384" s="63" t="str">
        <f t="shared" ca="1" si="82"/>
        <v>columnHeaders</v>
      </c>
      <c r="K384" s="63">
        <f t="shared" ca="1" si="86"/>
        <v>0</v>
      </c>
      <c r="L384" s="63" t="str">
        <f ca="1">IF(K384="fontFamily","fontFamily",IF(K384="fontSize","fontSize",IFERROR(INDEX(Elements!M:M,MATCH(Design!J384&amp;"|"&amp;Design!K384,Elements!N:N,0)),"")))</f>
        <v/>
      </c>
      <c r="M384" s="65" t="str">
        <f ca="1">IF(OR(L384="",L384="fill"),"",MATCH(IF(L384="enumeration",J384&amp;"|"&amp;G384,Design!L384),Elements!N:N,0))</f>
        <v/>
      </c>
      <c r="N384" s="65" t="str">
        <f t="shared" si="78"/>
        <v/>
      </c>
      <c r="O384" s="65" t="str">
        <f ca="1">"Elements!"&amp;INDEX(Elements!H:H,MATCH(Design!J384,Elements!J:J,0))</f>
        <v>Elements!K36:K44</v>
      </c>
      <c r="P384" s="65" t="str">
        <f t="shared" ca="1" si="84"/>
        <v>"</v>
      </c>
      <c r="Q384" s="75" t="str">
        <f t="shared" si="88"/>
        <v/>
      </c>
      <c r="R384" s="5" t="str">
        <f t="shared" si="89"/>
        <v/>
      </c>
      <c r="S384" s="5" t="str">
        <f t="shared" si="87"/>
        <v/>
      </c>
      <c r="T384" s="76" t="str">
        <f t="shared" si="90"/>
        <v/>
      </c>
      <c r="U384" s="5">
        <f t="shared" si="85"/>
        <v>0</v>
      </c>
      <c r="V384" s="5">
        <f t="shared" si="85"/>
        <v>0</v>
      </c>
      <c r="W384" s="77" t="str">
        <f t="shared" si="79"/>
        <v/>
      </c>
      <c r="X384" s="65" t="str">
        <f t="shared" si="80"/>
        <v/>
      </c>
      <c r="Y384" s="78" t="str">
        <f t="shared" si="81"/>
        <v/>
      </c>
      <c r="Z384" s="21"/>
      <c r="AA384" s="138"/>
      <c r="AB384" s="21"/>
    </row>
    <row r="385" spans="1:28" x14ac:dyDescent="0.25">
      <c r="A385" s="21"/>
      <c r="B385" s="18"/>
      <c r="C385" s="85" t="str">
        <f>IF(B385="","",INDEX(Elements!B:B,MATCH(Design!B385,Elements!A:A,0)))</f>
        <v/>
      </c>
      <c r="D385" s="13"/>
      <c r="E385" s="85" t="str">
        <f>IFERROR(IF(D385="","",INDEX(Elements!J:J,MATCH(Design!D385,Elements!I:I,0))),SUBSTITUTE(D385," ",""))</f>
        <v/>
      </c>
      <c r="F385" s="13"/>
      <c r="G385" s="84" t="str">
        <f>IFERROR(IF(F385="","",INDEX(Elements!L:L,MATCH(Design!F385,Elements!K:K,0))),F385)</f>
        <v/>
      </c>
      <c r="H385" s="12"/>
      <c r="I385" s="14"/>
      <c r="J385" s="63" t="str">
        <f t="shared" ca="1" si="82"/>
        <v>columnHeaders</v>
      </c>
      <c r="K385" s="63">
        <f t="shared" ca="1" si="86"/>
        <v>0</v>
      </c>
      <c r="L385" s="63" t="str">
        <f ca="1">IF(K385="fontFamily","fontFamily",IF(K385="fontSize","fontSize",IFERROR(INDEX(Elements!M:M,MATCH(Design!J385&amp;"|"&amp;Design!K385,Elements!N:N,0)),"")))</f>
        <v/>
      </c>
      <c r="M385" s="65" t="str">
        <f ca="1">IF(OR(L385="",L385="fill"),"",MATCH(IF(L385="enumeration",J385&amp;"|"&amp;G385,Design!L385),Elements!N:N,0))</f>
        <v/>
      </c>
      <c r="N385" s="65" t="str">
        <f t="shared" si="78"/>
        <v/>
      </c>
      <c r="O385" s="65" t="str">
        <f ca="1">"Elements!"&amp;INDEX(Elements!H:H,MATCH(Design!J385,Elements!J:J,0))</f>
        <v>Elements!K36:K44</v>
      </c>
      <c r="P385" s="65" t="str">
        <f t="shared" ca="1" si="84"/>
        <v>"</v>
      </c>
      <c r="Q385" s="75" t="str">
        <f t="shared" si="88"/>
        <v/>
      </c>
      <c r="R385" s="5" t="str">
        <f t="shared" si="89"/>
        <v/>
      </c>
      <c r="S385" s="5" t="str">
        <f t="shared" si="87"/>
        <v/>
      </c>
      <c r="T385" s="76" t="str">
        <f t="shared" si="90"/>
        <v/>
      </c>
      <c r="U385" s="5">
        <f t="shared" si="85"/>
        <v>0</v>
      </c>
      <c r="V385" s="5">
        <f t="shared" si="85"/>
        <v>0</v>
      </c>
      <c r="W385" s="77" t="str">
        <f t="shared" si="79"/>
        <v/>
      </c>
      <c r="X385" s="65" t="str">
        <f t="shared" si="80"/>
        <v/>
      </c>
      <c r="Y385" s="78" t="str">
        <f t="shared" si="81"/>
        <v/>
      </c>
      <c r="Z385" s="21"/>
      <c r="AA385" s="138"/>
      <c r="AB385" s="21"/>
    </row>
    <row r="386" spans="1:28" x14ac:dyDescent="0.25">
      <c r="A386" s="21"/>
      <c r="B386" s="18"/>
      <c r="C386" s="85" t="str">
        <f>IF(B386="","",INDEX(Elements!B:B,MATCH(Design!B386,Elements!A:A,0)))</f>
        <v/>
      </c>
      <c r="D386" s="13"/>
      <c r="E386" s="85" t="str">
        <f>IFERROR(IF(D386="","",INDEX(Elements!J:J,MATCH(Design!D386,Elements!I:I,0))),SUBSTITUTE(D386," ",""))</f>
        <v/>
      </c>
      <c r="F386" s="13"/>
      <c r="G386" s="84" t="str">
        <f>IFERROR(IF(F386="","",INDEX(Elements!L:L,MATCH(Design!F386,Elements!K:K,0))),F386)</f>
        <v/>
      </c>
      <c r="H386" s="12"/>
      <c r="I386" s="14"/>
      <c r="J386" s="63" t="str">
        <f t="shared" ca="1" si="82"/>
        <v>columnHeaders</v>
      </c>
      <c r="K386" s="63">
        <f t="shared" ca="1" si="86"/>
        <v>0</v>
      </c>
      <c r="L386" s="63" t="str">
        <f ca="1">IF(K386="fontFamily","fontFamily",IF(K386="fontSize","fontSize",IFERROR(INDEX(Elements!M:M,MATCH(Design!J386&amp;"|"&amp;Design!K386,Elements!N:N,0)),"")))</f>
        <v/>
      </c>
      <c r="M386" s="65" t="str">
        <f ca="1">IF(OR(L386="",L386="fill"),"",MATCH(IF(L386="enumeration",J386&amp;"|"&amp;G386,Design!L386),Elements!N:N,0))</f>
        <v/>
      </c>
      <c r="N386" s="65" t="str">
        <f t="shared" si="78"/>
        <v/>
      </c>
      <c r="O386" s="65" t="str">
        <f ca="1">"Elements!"&amp;INDEX(Elements!H:H,MATCH(Design!J386,Elements!J:J,0))</f>
        <v>Elements!K36:K44</v>
      </c>
      <c r="P386" s="65" t="str">
        <f t="shared" ca="1" si="84"/>
        <v>"</v>
      </c>
      <c r="Q386" s="75" t="str">
        <f t="shared" si="88"/>
        <v/>
      </c>
      <c r="R386" s="5" t="str">
        <f t="shared" si="89"/>
        <v/>
      </c>
      <c r="S386" s="5" t="str">
        <f t="shared" si="87"/>
        <v/>
      </c>
      <c r="T386" s="76" t="str">
        <f t="shared" si="90"/>
        <v/>
      </c>
      <c r="U386" s="5">
        <f t="shared" si="85"/>
        <v>0</v>
      </c>
      <c r="V386" s="5">
        <f t="shared" si="85"/>
        <v>0</v>
      </c>
      <c r="W386" s="77" t="str">
        <f t="shared" si="79"/>
        <v/>
      </c>
      <c r="X386" s="65" t="str">
        <f t="shared" si="80"/>
        <v/>
      </c>
      <c r="Y386" s="78" t="str">
        <f t="shared" si="81"/>
        <v/>
      </c>
      <c r="Z386" s="21"/>
      <c r="AA386" s="138"/>
      <c r="AB386" s="21"/>
    </row>
    <row r="387" spans="1:28" x14ac:dyDescent="0.25">
      <c r="A387" s="21"/>
      <c r="B387" s="18"/>
      <c r="C387" s="85" t="str">
        <f>IF(B387="","",INDEX(Elements!B:B,MATCH(Design!B387,Elements!A:A,0)))</f>
        <v/>
      </c>
      <c r="D387" s="13"/>
      <c r="E387" s="85" t="str">
        <f>IFERROR(IF(D387="","",INDEX(Elements!J:J,MATCH(Design!D387,Elements!I:I,0))),SUBSTITUTE(D387," ",""))</f>
        <v/>
      </c>
      <c r="F387" s="13"/>
      <c r="G387" s="84" t="str">
        <f>IFERROR(IF(F387="","",INDEX(Elements!L:L,MATCH(Design!F387,Elements!K:K,0))),F387)</f>
        <v/>
      </c>
      <c r="H387" s="12"/>
      <c r="I387" s="14"/>
      <c r="J387" s="63" t="str">
        <f t="shared" ca="1" si="82"/>
        <v>columnHeaders</v>
      </c>
      <c r="K387" s="63">
        <f t="shared" ca="1" si="86"/>
        <v>0</v>
      </c>
      <c r="L387" s="63" t="str">
        <f ca="1">IF(K387="fontFamily","fontFamily",IF(K387="fontSize","fontSize",IFERROR(INDEX(Elements!M:M,MATCH(Design!J387&amp;"|"&amp;Design!K387,Elements!N:N,0)),"")))</f>
        <v/>
      </c>
      <c r="M387" s="65" t="str">
        <f ca="1">IF(OR(L387="",L387="fill"),"",MATCH(IF(L387="enumeration",J387&amp;"|"&amp;G387,Design!L387),Elements!N:N,0))</f>
        <v/>
      </c>
      <c r="N387" s="65" t="str">
        <f t="shared" si="78"/>
        <v/>
      </c>
      <c r="O387" s="65" t="str">
        <f ca="1">"Elements!"&amp;INDEX(Elements!H:H,MATCH(Design!J387,Elements!J:J,0))</f>
        <v>Elements!K36:K44</v>
      </c>
      <c r="P387" s="65" t="str">
        <f t="shared" ca="1" si="84"/>
        <v>"</v>
      </c>
      <c r="Q387" s="75" t="str">
        <f t="shared" si="88"/>
        <v/>
      </c>
      <c r="R387" s="5" t="str">
        <f t="shared" si="89"/>
        <v/>
      </c>
      <c r="S387" s="5" t="str">
        <f t="shared" si="87"/>
        <v/>
      </c>
      <c r="T387" s="76" t="str">
        <f t="shared" si="90"/>
        <v/>
      </c>
      <c r="U387" s="5">
        <f t="shared" si="85"/>
        <v>0</v>
      </c>
      <c r="V387" s="5">
        <f t="shared" si="85"/>
        <v>0</v>
      </c>
      <c r="W387" s="77" t="str">
        <f t="shared" si="79"/>
        <v/>
      </c>
      <c r="X387" s="65" t="str">
        <f t="shared" si="80"/>
        <v/>
      </c>
      <c r="Y387" s="78" t="str">
        <f t="shared" si="81"/>
        <v/>
      </c>
      <c r="Z387" s="21"/>
      <c r="AA387" s="138"/>
      <c r="AB387" s="21"/>
    </row>
    <row r="388" spans="1:28" x14ac:dyDescent="0.25">
      <c r="A388" s="21"/>
      <c r="B388" s="18"/>
      <c r="C388" s="85" t="str">
        <f>IF(B388="","",INDEX(Elements!B:B,MATCH(Design!B388,Elements!A:A,0)))</f>
        <v/>
      </c>
      <c r="D388" s="13"/>
      <c r="E388" s="85" t="str">
        <f>IFERROR(IF(D388="","",INDEX(Elements!J:J,MATCH(Design!D388,Elements!I:I,0))),SUBSTITUTE(D388," ",""))</f>
        <v/>
      </c>
      <c r="F388" s="13"/>
      <c r="G388" s="84" t="str">
        <f>IFERROR(IF(F388="","",INDEX(Elements!L:L,MATCH(Design!F388,Elements!K:K,0))),F388)</f>
        <v/>
      </c>
      <c r="H388" s="12"/>
      <c r="I388" s="14"/>
      <c r="J388" s="63" t="str">
        <f t="shared" ca="1" si="82"/>
        <v>columnHeaders</v>
      </c>
      <c r="K388" s="63">
        <f t="shared" ca="1" si="86"/>
        <v>0</v>
      </c>
      <c r="L388" s="63" t="str">
        <f ca="1">IF(K388="fontFamily","fontFamily",IF(K388="fontSize","fontSize",IFERROR(INDEX(Elements!M:M,MATCH(Design!J388&amp;"|"&amp;Design!K388,Elements!N:N,0)),"")))</f>
        <v/>
      </c>
      <c r="M388" s="65" t="str">
        <f ca="1">IF(OR(L388="",L388="fill"),"",MATCH(IF(L388="enumeration",J388&amp;"|"&amp;G388,Design!L388),Elements!N:N,0))</f>
        <v/>
      </c>
      <c r="N388" s="65" t="str">
        <f t="shared" si="78"/>
        <v/>
      </c>
      <c r="O388" s="65" t="str">
        <f ca="1">"Elements!"&amp;INDEX(Elements!H:H,MATCH(Design!J388,Elements!J:J,0))</f>
        <v>Elements!K36:K44</v>
      </c>
      <c r="P388" s="65" t="str">
        <f t="shared" ca="1" si="84"/>
        <v>"</v>
      </c>
      <c r="Q388" s="75" t="str">
        <f t="shared" si="88"/>
        <v/>
      </c>
      <c r="R388" s="5" t="str">
        <f t="shared" si="89"/>
        <v/>
      </c>
      <c r="S388" s="5" t="str">
        <f t="shared" si="87"/>
        <v/>
      </c>
      <c r="T388" s="76" t="str">
        <f t="shared" si="90"/>
        <v/>
      </c>
      <c r="U388" s="5">
        <f t="shared" si="85"/>
        <v>0</v>
      </c>
      <c r="V388" s="5">
        <f t="shared" si="85"/>
        <v>0</v>
      </c>
      <c r="W388" s="77" t="str">
        <f t="shared" si="79"/>
        <v/>
      </c>
      <c r="X388" s="65" t="str">
        <f t="shared" si="80"/>
        <v/>
      </c>
      <c r="Y388" s="78" t="str">
        <f t="shared" si="81"/>
        <v/>
      </c>
      <c r="Z388" s="21"/>
      <c r="AA388" s="138"/>
      <c r="AB388" s="21"/>
    </row>
    <row r="389" spans="1:28" x14ac:dyDescent="0.25">
      <c r="A389" s="21"/>
      <c r="B389" s="18"/>
      <c r="C389" s="85" t="str">
        <f>IF(B389="","",INDEX(Elements!B:B,MATCH(Design!B389,Elements!A:A,0)))</f>
        <v/>
      </c>
      <c r="D389" s="13"/>
      <c r="E389" s="85" t="str">
        <f>IFERROR(IF(D389="","",INDEX(Elements!J:J,MATCH(Design!D389,Elements!I:I,0))),SUBSTITUTE(D389," ",""))</f>
        <v/>
      </c>
      <c r="F389" s="13"/>
      <c r="G389" s="84" t="str">
        <f>IFERROR(IF(F389="","",INDEX(Elements!L:L,MATCH(Design!F389,Elements!K:K,0))),F389)</f>
        <v/>
      </c>
      <c r="H389" s="12"/>
      <c r="I389" s="14"/>
      <c r="J389" s="63" t="str">
        <f t="shared" ca="1" si="82"/>
        <v>columnHeaders</v>
      </c>
      <c r="K389" s="63">
        <f t="shared" ca="1" si="86"/>
        <v>0</v>
      </c>
      <c r="L389" s="63" t="str">
        <f ca="1">IF(K389="fontFamily","fontFamily",IF(K389="fontSize","fontSize",IFERROR(INDEX(Elements!M:M,MATCH(Design!J389&amp;"|"&amp;Design!K389,Elements!N:N,0)),"")))</f>
        <v/>
      </c>
      <c r="M389" s="65" t="str">
        <f ca="1">IF(OR(L389="",L389="fill"),"",MATCH(IF(L389="enumeration",J389&amp;"|"&amp;G389,Design!L389),Elements!N:N,0))</f>
        <v/>
      </c>
      <c r="N389" s="65" t="str">
        <f t="shared" si="78"/>
        <v/>
      </c>
      <c r="O389" s="65" t="str">
        <f ca="1">"Elements!"&amp;INDEX(Elements!H:H,MATCH(Design!J389,Elements!J:J,0))</f>
        <v>Elements!K36:K44</v>
      </c>
      <c r="P389" s="65" t="str">
        <f t="shared" ca="1" si="84"/>
        <v>"</v>
      </c>
      <c r="Q389" s="75" t="str">
        <f t="shared" si="88"/>
        <v/>
      </c>
      <c r="R389" s="5" t="str">
        <f t="shared" si="89"/>
        <v/>
      </c>
      <c r="S389" s="5" t="str">
        <f t="shared" si="87"/>
        <v/>
      </c>
      <c r="T389" s="76" t="str">
        <f t="shared" si="90"/>
        <v/>
      </c>
      <c r="U389" s="5">
        <f t="shared" si="85"/>
        <v>0</v>
      </c>
      <c r="V389" s="5">
        <f t="shared" si="85"/>
        <v>0</v>
      </c>
      <c r="W389" s="77" t="str">
        <f t="shared" si="79"/>
        <v/>
      </c>
      <c r="X389" s="65" t="str">
        <f t="shared" si="80"/>
        <v/>
      </c>
      <c r="Y389" s="78" t="str">
        <f t="shared" si="81"/>
        <v/>
      </c>
      <c r="Z389" s="21"/>
      <c r="AA389" s="138"/>
      <c r="AB389" s="21"/>
    </row>
    <row r="390" spans="1:28" x14ac:dyDescent="0.25">
      <c r="A390" s="21"/>
      <c r="B390" s="18"/>
      <c r="C390" s="85" t="str">
        <f>IF(B390="","",INDEX(Elements!B:B,MATCH(Design!B390,Elements!A:A,0)))</f>
        <v/>
      </c>
      <c r="D390" s="13"/>
      <c r="E390" s="85" t="str">
        <f>IFERROR(IF(D390="","",INDEX(Elements!J:J,MATCH(Design!D390,Elements!I:I,0))),SUBSTITUTE(D390," ",""))</f>
        <v/>
      </c>
      <c r="F390" s="13"/>
      <c r="G390" s="84" t="str">
        <f>IFERROR(IF(F390="","",INDEX(Elements!L:L,MATCH(Design!F390,Elements!K:K,0))),F390)</f>
        <v/>
      </c>
      <c r="H390" s="12"/>
      <c r="I390" s="14"/>
      <c r="J390" s="63" t="str">
        <f t="shared" ca="1" si="82"/>
        <v>columnHeaders</v>
      </c>
      <c r="K390" s="63">
        <f t="shared" ca="1" si="86"/>
        <v>0</v>
      </c>
      <c r="L390" s="63" t="str">
        <f ca="1">IF(K390="fontFamily","fontFamily",IF(K390="fontSize","fontSize",IFERROR(INDEX(Elements!M:M,MATCH(Design!J390&amp;"|"&amp;Design!K390,Elements!N:N,0)),"")))</f>
        <v/>
      </c>
      <c r="M390" s="65" t="str">
        <f ca="1">IF(OR(L390="",L390="fill"),"",MATCH(IF(L390="enumeration",J390&amp;"|"&amp;G390,Design!L390),Elements!N:N,0))</f>
        <v/>
      </c>
      <c r="N390" s="65" t="str">
        <f t="shared" si="78"/>
        <v/>
      </c>
      <c r="O390" s="65" t="str">
        <f ca="1">"Elements!"&amp;INDEX(Elements!H:H,MATCH(Design!J390,Elements!J:J,0))</f>
        <v>Elements!K36:K44</v>
      </c>
      <c r="P390" s="65" t="str">
        <f t="shared" ca="1" si="84"/>
        <v>"</v>
      </c>
      <c r="Q390" s="75" t="str">
        <f t="shared" si="88"/>
        <v/>
      </c>
      <c r="R390" s="5" t="str">
        <f t="shared" si="89"/>
        <v/>
      </c>
      <c r="S390" s="5" t="str">
        <f t="shared" si="87"/>
        <v/>
      </c>
      <c r="T390" s="76" t="str">
        <f t="shared" si="90"/>
        <v/>
      </c>
      <c r="U390" s="5">
        <f t="shared" si="85"/>
        <v>0</v>
      </c>
      <c r="V390" s="5">
        <f t="shared" si="85"/>
        <v>0</v>
      </c>
      <c r="W390" s="77" t="str">
        <f t="shared" si="79"/>
        <v/>
      </c>
      <c r="X390" s="65" t="str">
        <f t="shared" si="80"/>
        <v/>
      </c>
      <c r="Y390" s="78" t="str">
        <f t="shared" si="81"/>
        <v/>
      </c>
      <c r="Z390" s="21"/>
      <c r="AA390" s="138"/>
      <c r="AB390" s="21"/>
    </row>
    <row r="391" spans="1:28" x14ac:dyDescent="0.25">
      <c r="A391" s="21"/>
      <c r="B391" s="18"/>
      <c r="C391" s="85" t="str">
        <f>IF(B391="","",INDEX(Elements!B:B,MATCH(Design!B391,Elements!A:A,0)))</f>
        <v/>
      </c>
      <c r="D391" s="13"/>
      <c r="E391" s="85" t="str">
        <f>IFERROR(IF(D391="","",INDEX(Elements!J:J,MATCH(Design!D391,Elements!I:I,0))),SUBSTITUTE(D391," ",""))</f>
        <v/>
      </c>
      <c r="F391" s="13"/>
      <c r="G391" s="84" t="str">
        <f>IFERROR(IF(F391="","",INDEX(Elements!L:L,MATCH(Design!F391,Elements!K:K,0))),F391)</f>
        <v/>
      </c>
      <c r="H391" s="12"/>
      <c r="I391" s="14"/>
      <c r="J391" s="63" t="str">
        <f t="shared" ca="1" si="82"/>
        <v>columnHeaders</v>
      </c>
      <c r="K391" s="63">
        <f t="shared" ca="1" si="86"/>
        <v>0</v>
      </c>
      <c r="L391" s="63" t="str">
        <f ca="1">IF(K391="fontFamily","fontFamily",IF(K391="fontSize","fontSize",IFERROR(INDEX(Elements!M:M,MATCH(Design!J391&amp;"|"&amp;Design!K391,Elements!N:N,0)),"")))</f>
        <v/>
      </c>
      <c r="M391" s="65" t="str">
        <f ca="1">IF(OR(L391="",L391="fill"),"",MATCH(IF(L391="enumeration",J391&amp;"|"&amp;G391,Design!L391),Elements!N:N,0))</f>
        <v/>
      </c>
      <c r="N391" s="65" t="str">
        <f t="shared" si="78"/>
        <v/>
      </c>
      <c r="O391" s="65" t="str">
        <f ca="1">"Elements!"&amp;INDEX(Elements!H:H,MATCH(Design!J391,Elements!J:J,0))</f>
        <v>Elements!K36:K44</v>
      </c>
      <c r="P391" s="65" t="str">
        <f t="shared" ca="1" si="84"/>
        <v>"</v>
      </c>
      <c r="Q391" s="75" t="str">
        <f t="shared" si="88"/>
        <v/>
      </c>
      <c r="R391" s="5" t="str">
        <f t="shared" si="89"/>
        <v/>
      </c>
      <c r="S391" s="5" t="str">
        <f t="shared" si="87"/>
        <v/>
      </c>
      <c r="T391" s="76" t="str">
        <f t="shared" si="90"/>
        <v/>
      </c>
      <c r="U391" s="5">
        <f t="shared" si="85"/>
        <v>0</v>
      </c>
      <c r="V391" s="5">
        <f t="shared" si="85"/>
        <v>0</v>
      </c>
      <c r="W391" s="77" t="str">
        <f t="shared" si="79"/>
        <v/>
      </c>
      <c r="X391" s="65" t="str">
        <f t="shared" si="80"/>
        <v/>
      </c>
      <c r="Y391" s="78" t="str">
        <f t="shared" si="81"/>
        <v/>
      </c>
      <c r="Z391" s="21"/>
      <c r="AA391" s="138"/>
      <c r="AB391" s="21"/>
    </row>
    <row r="392" spans="1:28" x14ac:dyDescent="0.25">
      <c r="A392" s="21"/>
      <c r="B392" s="18"/>
      <c r="C392" s="85" t="str">
        <f>IF(B392="","",INDEX(Elements!B:B,MATCH(Design!B392,Elements!A:A,0)))</f>
        <v/>
      </c>
      <c r="D392" s="13"/>
      <c r="E392" s="85" t="str">
        <f>IFERROR(IF(D392="","",INDEX(Elements!J:J,MATCH(Design!D392,Elements!I:I,0))),SUBSTITUTE(D392," ",""))</f>
        <v/>
      </c>
      <c r="F392" s="13"/>
      <c r="G392" s="84" t="str">
        <f>IFERROR(IF(F392="","",INDEX(Elements!L:L,MATCH(Design!F392,Elements!K:K,0))),F392)</f>
        <v/>
      </c>
      <c r="H392" s="12"/>
      <c r="I392" s="14"/>
      <c r="J392" s="63" t="str">
        <f t="shared" ca="1" si="82"/>
        <v>columnHeaders</v>
      </c>
      <c r="K392" s="63">
        <f t="shared" ca="1" si="86"/>
        <v>0</v>
      </c>
      <c r="L392" s="63" t="str">
        <f ca="1">IF(K392="fontFamily","fontFamily",IF(K392="fontSize","fontSize",IFERROR(INDEX(Elements!M:M,MATCH(Design!J392&amp;"|"&amp;Design!K392,Elements!N:N,0)),"")))</f>
        <v/>
      </c>
      <c r="M392" s="65" t="str">
        <f ca="1">IF(OR(L392="",L392="fill"),"",MATCH(IF(L392="enumeration",J392&amp;"|"&amp;G392,Design!L392),Elements!N:N,0))</f>
        <v/>
      </c>
      <c r="N392" s="65" t="str">
        <f t="shared" si="78"/>
        <v/>
      </c>
      <c r="O392" s="65" t="str">
        <f ca="1">"Elements!"&amp;INDEX(Elements!H:H,MATCH(Design!J392,Elements!J:J,0))</f>
        <v>Elements!K36:K44</v>
      </c>
      <c r="P392" s="65" t="str">
        <f t="shared" ca="1" si="84"/>
        <v>"</v>
      </c>
      <c r="Q392" s="75" t="str">
        <f t="shared" si="88"/>
        <v/>
      </c>
      <c r="R392" s="5" t="str">
        <f t="shared" si="89"/>
        <v/>
      </c>
      <c r="S392" s="5" t="str">
        <f t="shared" si="87"/>
        <v/>
      </c>
      <c r="T392" s="76" t="str">
        <f t="shared" si="90"/>
        <v/>
      </c>
      <c r="U392" s="5">
        <f t="shared" si="85"/>
        <v>0</v>
      </c>
      <c r="V392" s="5">
        <f t="shared" si="85"/>
        <v>0</v>
      </c>
      <c r="W392" s="77" t="str">
        <f t="shared" si="79"/>
        <v/>
      </c>
      <c r="X392" s="65" t="str">
        <f t="shared" si="80"/>
        <v/>
      </c>
      <c r="Y392" s="78" t="str">
        <f t="shared" si="81"/>
        <v/>
      </c>
      <c r="Z392" s="21"/>
      <c r="AA392" s="138"/>
      <c r="AB392" s="21"/>
    </row>
    <row r="393" spans="1:28" x14ac:dyDescent="0.25">
      <c r="A393" s="21"/>
      <c r="B393" s="18"/>
      <c r="C393" s="85" t="str">
        <f>IF(B393="","",INDEX(Elements!B:B,MATCH(Design!B393,Elements!A:A,0)))</f>
        <v/>
      </c>
      <c r="D393" s="13"/>
      <c r="E393" s="85" t="str">
        <f>IFERROR(IF(D393="","",INDEX(Elements!J:J,MATCH(Design!D393,Elements!I:I,0))),SUBSTITUTE(D393," ",""))</f>
        <v/>
      </c>
      <c r="F393" s="13"/>
      <c r="G393" s="84" t="str">
        <f>IFERROR(IF(F393="","",INDEX(Elements!L:L,MATCH(Design!F393,Elements!K:K,0))),F393)</f>
        <v/>
      </c>
      <c r="H393" s="12"/>
      <c r="I393" s="14"/>
      <c r="J393" s="63" t="str">
        <f t="shared" ca="1" si="82"/>
        <v>columnHeaders</v>
      </c>
      <c r="K393" s="63">
        <f t="shared" ca="1" si="86"/>
        <v>0</v>
      </c>
      <c r="L393" s="63" t="str">
        <f ca="1">IF(K393="fontFamily","fontFamily",IF(K393="fontSize","fontSize",IFERROR(INDEX(Elements!M:M,MATCH(Design!J393&amp;"|"&amp;Design!K393,Elements!N:N,0)),"")))</f>
        <v/>
      </c>
      <c r="M393" s="65" t="str">
        <f ca="1">IF(OR(L393="",L393="fill"),"",MATCH(IF(L393="enumeration",J393&amp;"|"&amp;G393,Design!L393),Elements!N:N,0))</f>
        <v/>
      </c>
      <c r="N393" s="65" t="str">
        <f t="shared" si="78"/>
        <v/>
      </c>
      <c r="O393" s="65" t="str">
        <f ca="1">"Elements!"&amp;INDEX(Elements!H:H,MATCH(Design!J393,Elements!J:J,0))</f>
        <v>Elements!K36:K44</v>
      </c>
      <c r="P393" s="65" t="str">
        <f t="shared" ca="1" si="84"/>
        <v>"</v>
      </c>
      <c r="Q393" s="75" t="str">
        <f t="shared" si="88"/>
        <v/>
      </c>
      <c r="R393" s="5" t="str">
        <f t="shared" si="89"/>
        <v/>
      </c>
      <c r="S393" s="5" t="str">
        <f t="shared" si="87"/>
        <v/>
      </c>
      <c r="T393" s="76" t="str">
        <f t="shared" si="90"/>
        <v/>
      </c>
      <c r="U393" s="5">
        <f t="shared" si="85"/>
        <v>0</v>
      </c>
      <c r="V393" s="5">
        <f t="shared" si="85"/>
        <v>0</v>
      </c>
      <c r="W393" s="77" t="str">
        <f t="shared" si="79"/>
        <v/>
      </c>
      <c r="X393" s="65" t="str">
        <f t="shared" si="80"/>
        <v/>
      </c>
      <c r="Y393" s="78" t="str">
        <f t="shared" si="81"/>
        <v/>
      </c>
      <c r="Z393" s="21"/>
      <c r="AA393" s="138"/>
      <c r="AB393" s="21"/>
    </row>
    <row r="394" spans="1:28" x14ac:dyDescent="0.25">
      <c r="A394" s="21"/>
      <c r="B394" s="18"/>
      <c r="C394" s="85" t="str">
        <f>IF(B394="","",INDEX(Elements!B:B,MATCH(Design!B394,Elements!A:A,0)))</f>
        <v/>
      </c>
      <c r="D394" s="13"/>
      <c r="E394" s="85" t="str">
        <f>IFERROR(IF(D394="","",INDEX(Elements!J:J,MATCH(Design!D394,Elements!I:I,0))),SUBSTITUTE(D394," ",""))</f>
        <v/>
      </c>
      <c r="F394" s="13"/>
      <c r="G394" s="84" t="str">
        <f>IFERROR(IF(F394="","",INDEX(Elements!L:L,MATCH(Design!F394,Elements!K:K,0))),F394)</f>
        <v/>
      </c>
      <c r="H394" s="12"/>
      <c r="I394" s="14"/>
      <c r="J394" s="63" t="str">
        <f t="shared" ca="1" si="82"/>
        <v>columnHeaders</v>
      </c>
      <c r="K394" s="63">
        <f t="shared" ca="1" si="86"/>
        <v>0</v>
      </c>
      <c r="L394" s="63" t="str">
        <f ca="1">IF(K394="fontFamily","fontFamily",IF(K394="fontSize","fontSize",IFERROR(INDEX(Elements!M:M,MATCH(Design!J394&amp;"|"&amp;Design!K394,Elements!N:N,0)),"")))</f>
        <v/>
      </c>
      <c r="M394" s="65" t="str">
        <f ca="1">IF(OR(L394="",L394="fill"),"",MATCH(IF(L394="enumeration",J394&amp;"|"&amp;G394,Design!L394),Elements!N:N,0))</f>
        <v/>
      </c>
      <c r="N394" s="65" t="str">
        <f t="shared" si="78"/>
        <v/>
      </c>
      <c r="O394" s="65" t="str">
        <f ca="1">"Elements!"&amp;INDEX(Elements!H:H,MATCH(Design!J394,Elements!J:J,0))</f>
        <v>Elements!K36:K44</v>
      </c>
      <c r="P394" s="65" t="str">
        <f t="shared" ca="1" si="84"/>
        <v>"</v>
      </c>
      <c r="Q394" s="75" t="str">
        <f t="shared" si="88"/>
        <v/>
      </c>
      <c r="R394" s="5" t="str">
        <f t="shared" si="89"/>
        <v/>
      </c>
      <c r="S394" s="5" t="str">
        <f t="shared" si="87"/>
        <v/>
      </c>
      <c r="T394" s="76" t="str">
        <f t="shared" si="90"/>
        <v/>
      </c>
      <c r="U394" s="5">
        <f t="shared" si="85"/>
        <v>0</v>
      </c>
      <c r="V394" s="5">
        <f t="shared" si="85"/>
        <v>0</v>
      </c>
      <c r="W394" s="77" t="str">
        <f t="shared" si="79"/>
        <v/>
      </c>
      <c r="X394" s="65" t="str">
        <f t="shared" si="80"/>
        <v/>
      </c>
      <c r="Y394" s="78" t="str">
        <f t="shared" si="81"/>
        <v/>
      </c>
      <c r="Z394" s="21"/>
      <c r="AA394" s="138"/>
      <c r="AB394" s="21"/>
    </row>
    <row r="395" spans="1:28" x14ac:dyDescent="0.25">
      <c r="A395" s="21"/>
      <c r="B395" s="18"/>
      <c r="C395" s="85" t="str">
        <f>IF(B395="","",INDEX(Elements!B:B,MATCH(Design!B395,Elements!A:A,0)))</f>
        <v/>
      </c>
      <c r="D395" s="13"/>
      <c r="E395" s="85" t="str">
        <f>IFERROR(IF(D395="","",INDEX(Elements!J:J,MATCH(Design!D395,Elements!I:I,0))),SUBSTITUTE(D395," ",""))</f>
        <v/>
      </c>
      <c r="F395" s="13"/>
      <c r="G395" s="84" t="str">
        <f>IFERROR(IF(F395="","",INDEX(Elements!L:L,MATCH(Design!F395,Elements!K:K,0))),F395)</f>
        <v/>
      </c>
      <c r="H395" s="12"/>
      <c r="I395" s="14"/>
      <c r="J395" s="63" t="str">
        <f t="shared" ca="1" si="82"/>
        <v>columnHeaders</v>
      </c>
      <c r="K395" s="63">
        <f t="shared" ca="1" si="86"/>
        <v>0</v>
      </c>
      <c r="L395" s="63" t="str">
        <f ca="1">IF(K395="fontFamily","fontFamily",IF(K395="fontSize","fontSize",IFERROR(INDEX(Elements!M:M,MATCH(Design!J395&amp;"|"&amp;Design!K395,Elements!N:N,0)),"")))</f>
        <v/>
      </c>
      <c r="M395" s="65" t="str">
        <f ca="1">IF(OR(L395="",L395="fill"),"",MATCH(IF(L395="enumeration",J395&amp;"|"&amp;G395,Design!L395),Elements!N:N,0))</f>
        <v/>
      </c>
      <c r="N395" s="65" t="str">
        <f t="shared" si="78"/>
        <v/>
      </c>
      <c r="O395" s="65" t="str">
        <f ca="1">"Elements!"&amp;INDEX(Elements!H:H,MATCH(Design!J395,Elements!J:J,0))</f>
        <v>Elements!K36:K44</v>
      </c>
      <c r="P395" s="65" t="str">
        <f t="shared" ca="1" si="84"/>
        <v>"</v>
      </c>
      <c r="Q395" s="75" t="str">
        <f t="shared" si="88"/>
        <v/>
      </c>
      <c r="R395" s="5" t="str">
        <f t="shared" si="89"/>
        <v/>
      </c>
      <c r="S395" s="5" t="str">
        <f t="shared" si="87"/>
        <v/>
      </c>
      <c r="T395" s="76" t="str">
        <f t="shared" si="90"/>
        <v/>
      </c>
      <c r="U395" s="5">
        <f t="shared" si="85"/>
        <v>0</v>
      </c>
      <c r="V395" s="5">
        <f t="shared" si="85"/>
        <v>0</v>
      </c>
      <c r="W395" s="77" t="str">
        <f t="shared" si="79"/>
        <v/>
      </c>
      <c r="X395" s="65" t="str">
        <f t="shared" si="80"/>
        <v/>
      </c>
      <c r="Y395" s="78" t="str">
        <f t="shared" si="81"/>
        <v/>
      </c>
      <c r="Z395" s="21"/>
      <c r="AA395" s="138"/>
      <c r="AB395" s="21"/>
    </row>
    <row r="396" spans="1:28" x14ac:dyDescent="0.25">
      <c r="A396" s="21"/>
      <c r="B396" s="18"/>
      <c r="C396" s="85" t="str">
        <f>IF(B396="","",INDEX(Elements!B:B,MATCH(Design!B396,Elements!A:A,0)))</f>
        <v/>
      </c>
      <c r="D396" s="13"/>
      <c r="E396" s="85" t="str">
        <f>IFERROR(IF(D396="","",INDEX(Elements!J:J,MATCH(Design!D396,Elements!I:I,0))),SUBSTITUTE(D396," ",""))</f>
        <v/>
      </c>
      <c r="F396" s="13"/>
      <c r="G396" s="84" t="str">
        <f>IFERROR(IF(F396="","",INDEX(Elements!L:L,MATCH(Design!F396,Elements!K:K,0))),F396)</f>
        <v/>
      </c>
      <c r="H396" s="12"/>
      <c r="I396" s="14"/>
      <c r="J396" s="63" t="str">
        <f t="shared" ca="1" si="82"/>
        <v>columnHeaders</v>
      </c>
      <c r="K396" s="63">
        <f t="shared" ca="1" si="86"/>
        <v>0</v>
      </c>
      <c r="L396" s="63" t="str">
        <f ca="1">IF(K396="fontFamily","fontFamily",IF(K396="fontSize","fontSize",IFERROR(INDEX(Elements!M:M,MATCH(Design!J396&amp;"|"&amp;Design!K396,Elements!N:N,0)),"")))</f>
        <v/>
      </c>
      <c r="M396" s="65" t="str">
        <f ca="1">IF(OR(L396="",L396="fill"),"",MATCH(IF(L396="enumeration",J396&amp;"|"&amp;G396,Design!L396),Elements!N:N,0))</f>
        <v/>
      </c>
      <c r="N396" s="65" t="str">
        <f t="shared" si="78"/>
        <v/>
      </c>
      <c r="O396" s="65" t="str">
        <f ca="1">"Elements!"&amp;INDEX(Elements!H:H,MATCH(Design!J396,Elements!J:J,0))</f>
        <v>Elements!K36:K44</v>
      </c>
      <c r="P396" s="65" t="str">
        <f t="shared" ca="1" si="84"/>
        <v>"</v>
      </c>
      <c r="Q396" s="75" t="str">
        <f t="shared" si="88"/>
        <v/>
      </c>
      <c r="R396" s="5" t="str">
        <f t="shared" si="89"/>
        <v/>
      </c>
      <c r="S396" s="5" t="str">
        <f t="shared" si="87"/>
        <v/>
      </c>
      <c r="T396" s="76" t="str">
        <f t="shared" si="90"/>
        <v/>
      </c>
      <c r="U396" s="5">
        <f t="shared" si="85"/>
        <v>0</v>
      </c>
      <c r="V396" s="5">
        <f t="shared" si="85"/>
        <v>0</v>
      </c>
      <c r="W396" s="77" t="str">
        <f t="shared" si="79"/>
        <v/>
      </c>
      <c r="X396" s="65" t="str">
        <f t="shared" si="80"/>
        <v/>
      </c>
      <c r="Y396" s="78" t="str">
        <f t="shared" si="81"/>
        <v/>
      </c>
      <c r="Z396" s="21"/>
      <c r="AA396" s="138"/>
      <c r="AB396" s="21"/>
    </row>
    <row r="397" spans="1:28" x14ac:dyDescent="0.25">
      <c r="A397" s="21"/>
      <c r="B397" s="18"/>
      <c r="C397" s="85" t="str">
        <f>IF(B397="","",INDEX(Elements!B:B,MATCH(Design!B397,Elements!A:A,0)))</f>
        <v/>
      </c>
      <c r="D397" s="13"/>
      <c r="E397" s="85" t="str">
        <f>IFERROR(IF(D397="","",INDEX(Elements!J:J,MATCH(Design!D397,Elements!I:I,0))),SUBSTITUTE(D397," ",""))</f>
        <v/>
      </c>
      <c r="F397" s="13"/>
      <c r="G397" s="84" t="str">
        <f>IFERROR(IF(F397="","",INDEX(Elements!L:L,MATCH(Design!F397,Elements!K:K,0))),F397)</f>
        <v/>
      </c>
      <c r="H397" s="12"/>
      <c r="I397" s="14"/>
      <c r="J397" s="63" t="str">
        <f t="shared" ca="1" si="82"/>
        <v>columnHeaders</v>
      </c>
      <c r="K397" s="63">
        <f t="shared" ca="1" si="86"/>
        <v>0</v>
      </c>
      <c r="L397" s="63" t="str">
        <f ca="1">IF(K397="fontFamily","fontFamily",IF(K397="fontSize","fontSize",IFERROR(INDEX(Elements!M:M,MATCH(Design!J397&amp;"|"&amp;Design!K397,Elements!N:N,0)),"")))</f>
        <v/>
      </c>
      <c r="M397" s="65" t="str">
        <f ca="1">IF(OR(L397="",L397="fill"),"",MATCH(IF(L397="enumeration",J397&amp;"|"&amp;G397,Design!L397),Elements!N:N,0))</f>
        <v/>
      </c>
      <c r="N397" s="65" t="str">
        <f t="shared" si="78"/>
        <v/>
      </c>
      <c r="O397" s="65" t="str">
        <f ca="1">"Elements!"&amp;INDEX(Elements!H:H,MATCH(Design!J397,Elements!J:J,0))</f>
        <v>Elements!K36:K44</v>
      </c>
      <c r="P397" s="65" t="str">
        <f t="shared" ca="1" si="84"/>
        <v>"</v>
      </c>
      <c r="Q397" s="75" t="str">
        <f t="shared" si="88"/>
        <v/>
      </c>
      <c r="R397" s="5" t="str">
        <f t="shared" si="89"/>
        <v/>
      </c>
      <c r="S397" s="5" t="str">
        <f t="shared" si="87"/>
        <v/>
      </c>
      <c r="T397" s="76" t="str">
        <f t="shared" si="90"/>
        <v/>
      </c>
      <c r="U397" s="5">
        <f t="shared" si="85"/>
        <v>0</v>
      </c>
      <c r="V397" s="5">
        <f t="shared" si="85"/>
        <v>0</v>
      </c>
      <c r="W397" s="77" t="str">
        <f t="shared" si="79"/>
        <v/>
      </c>
      <c r="X397" s="65" t="str">
        <f t="shared" si="80"/>
        <v/>
      </c>
      <c r="Y397" s="78" t="str">
        <f t="shared" si="81"/>
        <v/>
      </c>
      <c r="Z397" s="21"/>
      <c r="AA397" s="138"/>
      <c r="AB397" s="21"/>
    </row>
    <row r="398" spans="1:28" x14ac:dyDescent="0.25">
      <c r="A398" s="21"/>
      <c r="B398" s="18"/>
      <c r="C398" s="85" t="str">
        <f>IF(B398="","",INDEX(Elements!B:B,MATCH(Design!B398,Elements!A:A,0)))</f>
        <v/>
      </c>
      <c r="D398" s="13"/>
      <c r="E398" s="85" t="str">
        <f>IFERROR(IF(D398="","",INDEX(Elements!J:J,MATCH(Design!D398,Elements!I:I,0))),SUBSTITUTE(D398," ",""))</f>
        <v/>
      </c>
      <c r="F398" s="13"/>
      <c r="G398" s="84" t="str">
        <f>IFERROR(IF(F398="","",INDEX(Elements!L:L,MATCH(Design!F398,Elements!K:K,0))),F398)</f>
        <v/>
      </c>
      <c r="H398" s="12"/>
      <c r="I398" s="14"/>
      <c r="J398" s="63" t="str">
        <f t="shared" ca="1" si="82"/>
        <v>columnHeaders</v>
      </c>
      <c r="K398" s="63">
        <f t="shared" ca="1" si="86"/>
        <v>0</v>
      </c>
      <c r="L398" s="63" t="str">
        <f ca="1">IF(K398="fontFamily","fontFamily",IF(K398="fontSize","fontSize",IFERROR(INDEX(Elements!M:M,MATCH(Design!J398&amp;"|"&amp;Design!K398,Elements!N:N,0)),"")))</f>
        <v/>
      </c>
      <c r="M398" s="65" t="str">
        <f ca="1">IF(OR(L398="",L398="fill"),"",MATCH(IF(L398="enumeration",J398&amp;"|"&amp;G398,Design!L398),Elements!N:N,0))</f>
        <v/>
      </c>
      <c r="N398" s="65" t="str">
        <f t="shared" si="78"/>
        <v/>
      </c>
      <c r="O398" s="65" t="str">
        <f ca="1">"Elements!"&amp;INDEX(Elements!H:H,MATCH(Design!J398,Elements!J:J,0))</f>
        <v>Elements!K36:K44</v>
      </c>
      <c r="P398" s="65" t="str">
        <f t="shared" ca="1" si="84"/>
        <v>"</v>
      </c>
      <c r="Q398" s="75" t="str">
        <f t="shared" si="88"/>
        <v/>
      </c>
      <c r="R398" s="5" t="str">
        <f t="shared" si="89"/>
        <v/>
      </c>
      <c r="S398" s="5" t="str">
        <f t="shared" si="87"/>
        <v/>
      </c>
      <c r="T398" s="76" t="str">
        <f t="shared" si="90"/>
        <v/>
      </c>
      <c r="U398" s="5">
        <f t="shared" si="85"/>
        <v>0</v>
      </c>
      <c r="V398" s="5">
        <f t="shared" si="85"/>
        <v>0</v>
      </c>
      <c r="W398" s="77" t="str">
        <f t="shared" si="79"/>
        <v/>
      </c>
      <c r="X398" s="65" t="str">
        <f t="shared" si="80"/>
        <v/>
      </c>
      <c r="Y398" s="78" t="str">
        <f t="shared" si="81"/>
        <v/>
      </c>
      <c r="Z398" s="21"/>
      <c r="AA398" s="138"/>
      <c r="AB398" s="21"/>
    </row>
    <row r="399" spans="1:28" x14ac:dyDescent="0.25">
      <c r="A399" s="21"/>
      <c r="B399" s="18"/>
      <c r="C399" s="85" t="str">
        <f>IF(B399="","",INDEX(Elements!B:B,MATCH(Design!B399,Elements!A:A,0)))</f>
        <v/>
      </c>
      <c r="D399" s="13"/>
      <c r="E399" s="85" t="str">
        <f>IFERROR(IF(D399="","",INDEX(Elements!J:J,MATCH(Design!D399,Elements!I:I,0))),SUBSTITUTE(D399," ",""))</f>
        <v/>
      </c>
      <c r="F399" s="13"/>
      <c r="G399" s="84" t="str">
        <f>IFERROR(IF(F399="","",INDEX(Elements!L:L,MATCH(Design!F399,Elements!K:K,0))),F399)</f>
        <v/>
      </c>
      <c r="H399" s="12"/>
      <c r="I399" s="14"/>
      <c r="J399" s="63" t="str">
        <f t="shared" ca="1" si="82"/>
        <v>columnHeaders</v>
      </c>
      <c r="K399" s="63">
        <f t="shared" ca="1" si="86"/>
        <v>0</v>
      </c>
      <c r="L399" s="63" t="str">
        <f ca="1">IF(K399="fontFamily","fontFamily",IF(K399="fontSize","fontSize",IFERROR(INDEX(Elements!M:M,MATCH(Design!J399&amp;"|"&amp;Design!K399,Elements!N:N,0)),"")))</f>
        <v/>
      </c>
      <c r="M399" s="65" t="str">
        <f ca="1">IF(OR(L399="",L399="fill"),"",MATCH(IF(L399="enumeration",J399&amp;"|"&amp;G399,Design!L399),Elements!N:N,0))</f>
        <v/>
      </c>
      <c r="N399" s="65" t="str">
        <f t="shared" si="78"/>
        <v/>
      </c>
      <c r="O399" s="65" t="str">
        <f ca="1">"Elements!"&amp;INDEX(Elements!H:H,MATCH(Design!J399,Elements!J:J,0))</f>
        <v>Elements!K36:K44</v>
      </c>
      <c r="P399" s="65" t="str">
        <f t="shared" ca="1" si="84"/>
        <v>"</v>
      </c>
      <c r="Q399" s="75" t="str">
        <f t="shared" si="88"/>
        <v/>
      </c>
      <c r="R399" s="5" t="str">
        <f t="shared" si="89"/>
        <v/>
      </c>
      <c r="S399" s="5" t="str">
        <f t="shared" si="87"/>
        <v/>
      </c>
      <c r="T399" s="76" t="str">
        <f t="shared" si="90"/>
        <v/>
      </c>
      <c r="U399" s="5">
        <f t="shared" si="85"/>
        <v>0</v>
      </c>
      <c r="V399" s="5">
        <f t="shared" si="85"/>
        <v>0</v>
      </c>
      <c r="W399" s="77" t="str">
        <f t="shared" si="79"/>
        <v/>
      </c>
      <c r="X399" s="65" t="str">
        <f t="shared" si="80"/>
        <v/>
      </c>
      <c r="Y399" s="78" t="str">
        <f t="shared" si="81"/>
        <v/>
      </c>
      <c r="Z399" s="21"/>
      <c r="AA399" s="138"/>
      <c r="AB399" s="21"/>
    </row>
    <row r="400" spans="1:28" x14ac:dyDescent="0.25">
      <c r="A400" s="21"/>
      <c r="B400" s="18"/>
      <c r="C400" s="85" t="str">
        <f>IF(B400="","",INDEX(Elements!B:B,MATCH(Design!B400,Elements!A:A,0)))</f>
        <v/>
      </c>
      <c r="D400" s="13"/>
      <c r="E400" s="85" t="str">
        <f>IFERROR(IF(D400="","",INDEX(Elements!J:J,MATCH(Design!D400,Elements!I:I,0))),SUBSTITUTE(D400," ",""))</f>
        <v/>
      </c>
      <c r="F400" s="13"/>
      <c r="G400" s="84" t="str">
        <f>IFERROR(IF(F400="","",INDEX(Elements!L:L,MATCH(Design!F400,Elements!K:K,0))),F400)</f>
        <v/>
      </c>
      <c r="H400" s="12"/>
      <c r="I400" s="14"/>
      <c r="J400" s="63" t="str">
        <f t="shared" ca="1" si="82"/>
        <v>columnHeaders</v>
      </c>
      <c r="K400" s="63">
        <f t="shared" ca="1" si="86"/>
        <v>0</v>
      </c>
      <c r="L400" s="63" t="str">
        <f ca="1">IF(K400="fontFamily","fontFamily",IF(K400="fontSize","fontSize",IFERROR(INDEX(Elements!M:M,MATCH(Design!J400&amp;"|"&amp;Design!K400,Elements!N:N,0)),"")))</f>
        <v/>
      </c>
      <c r="M400" s="65" t="str">
        <f ca="1">IF(OR(L400="",L400="fill"),"",MATCH(IF(L400="enumeration",J400&amp;"|"&amp;G400,Design!L400),Elements!N:N,0))</f>
        <v/>
      </c>
      <c r="N400" s="65" t="str">
        <f t="shared" si="78"/>
        <v/>
      </c>
      <c r="O400" s="65" t="str">
        <f ca="1">"Elements!"&amp;INDEX(Elements!H:H,MATCH(Design!J400,Elements!J:J,0))</f>
        <v>Elements!K36:K44</v>
      </c>
      <c r="P400" s="65" t="str">
        <f t="shared" ca="1" si="84"/>
        <v>"</v>
      </c>
      <c r="Q400" s="75" t="str">
        <f t="shared" si="88"/>
        <v/>
      </c>
      <c r="R400" s="5" t="str">
        <f t="shared" si="89"/>
        <v/>
      </c>
      <c r="S400" s="5" t="str">
        <f t="shared" si="87"/>
        <v/>
      </c>
      <c r="T400" s="76" t="str">
        <f t="shared" si="90"/>
        <v/>
      </c>
      <c r="U400" s="5">
        <f t="shared" si="85"/>
        <v>0</v>
      </c>
      <c r="V400" s="5">
        <f t="shared" si="85"/>
        <v>0</v>
      </c>
      <c r="W400" s="77" t="str">
        <f t="shared" si="79"/>
        <v/>
      </c>
      <c r="X400" s="65" t="str">
        <f t="shared" si="80"/>
        <v/>
      </c>
      <c r="Y400" s="78" t="str">
        <f t="shared" si="81"/>
        <v/>
      </c>
      <c r="Z400" s="21"/>
      <c r="AA400" s="138"/>
      <c r="AB400" s="21"/>
    </row>
    <row r="401" spans="1:28" x14ac:dyDescent="0.25">
      <c r="A401" s="21"/>
      <c r="B401" s="18"/>
      <c r="C401" s="85" t="str">
        <f>IF(B401="","",INDEX(Elements!B:B,MATCH(Design!B401,Elements!A:A,0)))</f>
        <v/>
      </c>
      <c r="D401" s="13"/>
      <c r="E401" s="85" t="str">
        <f>IFERROR(IF(D401="","",INDEX(Elements!J:J,MATCH(Design!D401,Elements!I:I,0))),SUBSTITUTE(D401," ",""))</f>
        <v/>
      </c>
      <c r="F401" s="13"/>
      <c r="G401" s="84" t="str">
        <f>IFERROR(IF(F401="","",INDEX(Elements!L:L,MATCH(Design!F401,Elements!K:K,0))),F401)</f>
        <v/>
      </c>
      <c r="H401" s="12"/>
      <c r="I401" s="14"/>
      <c r="J401" s="63" t="str">
        <f t="shared" ca="1" si="82"/>
        <v>columnHeaders</v>
      </c>
      <c r="K401" s="63">
        <f t="shared" ca="1" si="86"/>
        <v>0</v>
      </c>
      <c r="L401" s="63" t="str">
        <f ca="1">IF(K401="fontFamily","fontFamily",IF(K401="fontSize","fontSize",IFERROR(INDEX(Elements!M:M,MATCH(Design!J401&amp;"|"&amp;Design!K401,Elements!N:N,0)),"")))</f>
        <v/>
      </c>
      <c r="M401" s="65" t="str">
        <f ca="1">IF(OR(L401="",L401="fill"),"",MATCH(IF(L401="enumeration",J401&amp;"|"&amp;G401,Design!L401),Elements!N:N,0))</f>
        <v/>
      </c>
      <c r="N401" s="65" t="str">
        <f t="shared" ref="N401:N407" si="91">IF(G401="","",IFERROR(IF(L401="fill","Design!$C$8:$H$9",IF(M401="","Design!$A$1","Elements!O"&amp;M401&amp;":AZ"&amp;M401)),"Design!$A$1"))</f>
        <v/>
      </c>
      <c r="O401" s="65" t="str">
        <f ca="1">"Elements!"&amp;INDEX(Elements!H:H,MATCH(Design!J401,Elements!J:J,0))</f>
        <v>Elements!K36:K44</v>
      </c>
      <c r="P401" s="65" t="str">
        <f t="shared" ca="1" si="84"/>
        <v>"</v>
      </c>
      <c r="Q401" s="75" t="str">
        <f t="shared" si="88"/>
        <v/>
      </c>
      <c r="R401" s="5" t="str">
        <f t="shared" si="89"/>
        <v/>
      </c>
      <c r="S401" s="5" t="str">
        <f t="shared" si="87"/>
        <v/>
      </c>
      <c r="T401" s="76" t="str">
        <f t="shared" si="90"/>
        <v/>
      </c>
      <c r="U401" s="5">
        <f t="shared" si="85"/>
        <v>0</v>
      </c>
      <c r="V401" s="5">
        <f t="shared" si="85"/>
        <v>0</v>
      </c>
      <c r="W401" s="77" t="str">
        <f t="shared" si="79"/>
        <v/>
      </c>
      <c r="X401" s="65" t="str">
        <f t="shared" si="80"/>
        <v/>
      </c>
      <c r="Y401" s="78" t="str">
        <f t="shared" si="81"/>
        <v/>
      </c>
      <c r="Z401" s="21"/>
      <c r="AA401" s="138"/>
      <c r="AB401" s="21"/>
    </row>
    <row r="402" spans="1:28" x14ac:dyDescent="0.25">
      <c r="A402" s="21"/>
      <c r="B402" s="18"/>
      <c r="C402" s="85" t="str">
        <f>IF(B402="","",INDEX(Elements!B:B,MATCH(Design!B402,Elements!A:A,0)))</f>
        <v/>
      </c>
      <c r="D402" s="13"/>
      <c r="E402" s="85" t="str">
        <f>IFERROR(IF(D402="","",INDEX(Elements!J:J,MATCH(Design!D402,Elements!I:I,0))),SUBSTITUTE(D402," ",""))</f>
        <v/>
      </c>
      <c r="F402" s="13"/>
      <c r="G402" s="84" t="str">
        <f>IFERROR(IF(F402="","",INDEX(Elements!L:L,MATCH(Design!F402,Elements!K:K,0))),F402)</f>
        <v/>
      </c>
      <c r="H402" s="12"/>
      <c r="I402" s="14"/>
      <c r="J402" s="63" t="str">
        <f t="shared" ca="1" si="82"/>
        <v>columnHeaders</v>
      </c>
      <c r="K402" s="63">
        <f t="shared" ca="1" si="86"/>
        <v>0</v>
      </c>
      <c r="L402" s="63" t="str">
        <f ca="1">IF(K402="fontFamily","fontFamily",IF(K402="fontSize","fontSize",IFERROR(INDEX(Elements!M:M,MATCH(Design!J402&amp;"|"&amp;Design!K402,Elements!N:N,0)),"")))</f>
        <v/>
      </c>
      <c r="M402" s="65" t="str">
        <f ca="1">IF(OR(L402="",L402="fill"),"",MATCH(IF(L402="enumeration",J402&amp;"|"&amp;G402,Design!L402),Elements!N:N,0))</f>
        <v/>
      </c>
      <c r="N402" s="65" t="str">
        <f t="shared" si="91"/>
        <v/>
      </c>
      <c r="O402" s="65" t="str">
        <f ca="1">"Elements!"&amp;INDEX(Elements!H:H,MATCH(Design!J402,Elements!J:J,0))</f>
        <v>Elements!K36:K44</v>
      </c>
      <c r="P402" s="65" t="str">
        <f t="shared" ca="1" si="84"/>
        <v>"</v>
      </c>
      <c r="Q402" s="75" t="str">
        <f t="shared" si="88"/>
        <v/>
      </c>
      <c r="R402" s="5" t="str">
        <f t="shared" si="89"/>
        <v/>
      </c>
      <c r="S402" s="5" t="str">
        <f t="shared" si="87"/>
        <v/>
      </c>
      <c r="T402" s="76" t="str">
        <f t="shared" si="90"/>
        <v/>
      </c>
      <c r="U402" s="5">
        <f t="shared" si="85"/>
        <v>0</v>
      </c>
      <c r="V402" s="5">
        <f t="shared" si="85"/>
        <v>0</v>
      </c>
      <c r="W402" s="77" t="str">
        <f t="shared" ref="W402:W407" si="92">IF(LEFT(H402,1)&lt;&gt;"#","",HEX2DEC(RIGHT(H402,2)))</f>
        <v/>
      </c>
      <c r="X402" s="65" t="str">
        <f t="shared" ref="X402:X407" si="93">IF(LEFT(H402,1)&lt;&gt;"#","",HEX2DEC(MID(H402,4,2)))</f>
        <v/>
      </c>
      <c r="Y402" s="78" t="str">
        <f t="shared" ref="Y402:Y407" si="94">IF(LEFT(H402,1)&lt;&gt;"#","",HEX2DEC(MID(H402,2,2)))</f>
        <v/>
      </c>
      <c r="Z402" s="21"/>
      <c r="AA402" s="138"/>
      <c r="AB402" s="21"/>
    </row>
    <row r="403" spans="1:28" x14ac:dyDescent="0.25">
      <c r="A403" s="21"/>
      <c r="B403" s="18"/>
      <c r="C403" s="85" t="str">
        <f>IF(B403="","",INDEX(Elements!B:B,MATCH(Design!B403,Elements!A:A,0)))</f>
        <v/>
      </c>
      <c r="D403" s="13"/>
      <c r="E403" s="85" t="str">
        <f>IFERROR(IF(D403="","",INDEX(Elements!J:J,MATCH(Design!D403,Elements!I:I,0))),SUBSTITUTE(D403," ",""))</f>
        <v/>
      </c>
      <c r="F403" s="13"/>
      <c r="G403" s="84" t="str">
        <f>IFERROR(IF(F403="","",INDEX(Elements!L:L,MATCH(Design!F403,Elements!K:K,0))),F403)</f>
        <v/>
      </c>
      <c r="H403" s="12"/>
      <c r="I403" s="14"/>
      <c r="J403" s="63" t="str">
        <f t="shared" ca="1" si="82"/>
        <v>columnHeaders</v>
      </c>
      <c r="K403" s="63">
        <f t="shared" ca="1" si="86"/>
        <v>0</v>
      </c>
      <c r="L403" s="63" t="str">
        <f ca="1">IF(K403="fontFamily","fontFamily",IF(K403="fontSize","fontSize",IFERROR(INDEX(Elements!M:M,MATCH(Design!J403&amp;"|"&amp;Design!K403,Elements!N:N,0)),"")))</f>
        <v/>
      </c>
      <c r="M403" s="65" t="str">
        <f ca="1">IF(OR(L403="",L403="fill"),"",MATCH(IF(L403="enumeration",J403&amp;"|"&amp;G403,Design!L403),Elements!N:N,0))</f>
        <v/>
      </c>
      <c r="N403" s="65" t="str">
        <f t="shared" si="91"/>
        <v/>
      </c>
      <c r="O403" s="65" t="str">
        <f ca="1">"Elements!"&amp;INDEX(Elements!H:H,MATCH(Design!J403,Elements!J:J,0))</f>
        <v>Elements!K36:K44</v>
      </c>
      <c r="P403" s="65" t="str">
        <f t="shared" ca="1" si="84"/>
        <v>"</v>
      </c>
      <c r="Q403" s="75" t="str">
        <f t="shared" si="88"/>
        <v/>
      </c>
      <c r="R403" s="5" t="str">
        <f t="shared" si="89"/>
        <v/>
      </c>
      <c r="S403" s="5" t="str">
        <f t="shared" si="87"/>
        <v/>
      </c>
      <c r="T403" s="76" t="str">
        <f t="shared" si="90"/>
        <v/>
      </c>
      <c r="U403" s="5">
        <f t="shared" si="85"/>
        <v>0</v>
      </c>
      <c r="V403" s="5">
        <f t="shared" si="85"/>
        <v>0</v>
      </c>
      <c r="W403" s="77" t="str">
        <f t="shared" si="92"/>
        <v/>
      </c>
      <c r="X403" s="65" t="str">
        <f t="shared" si="93"/>
        <v/>
      </c>
      <c r="Y403" s="78" t="str">
        <f t="shared" si="94"/>
        <v/>
      </c>
      <c r="Z403" s="21"/>
      <c r="AA403" s="138"/>
      <c r="AB403" s="21"/>
    </row>
    <row r="404" spans="1:28" x14ac:dyDescent="0.25">
      <c r="A404" s="21"/>
      <c r="B404" s="18"/>
      <c r="C404" s="85" t="str">
        <f>IF(B404="","",INDEX(Elements!B:B,MATCH(Design!B404,Elements!A:A,0)))</f>
        <v/>
      </c>
      <c r="D404" s="13"/>
      <c r="E404" s="85" t="str">
        <f>IFERROR(IF(D404="","",INDEX(Elements!J:J,MATCH(Design!D404,Elements!I:I,0))),SUBSTITUTE(D404," ",""))</f>
        <v/>
      </c>
      <c r="F404" s="13"/>
      <c r="G404" s="84" t="str">
        <f>IFERROR(IF(F404="","",INDEX(Elements!L:L,MATCH(Design!F404,Elements!K:K,0))),F404)</f>
        <v/>
      </c>
      <c r="H404" s="12"/>
      <c r="I404" s="14"/>
      <c r="J404" s="63" t="str">
        <f t="shared" ca="1" si="82"/>
        <v>columnHeaders</v>
      </c>
      <c r="K404" s="63">
        <f t="shared" ca="1" si="86"/>
        <v>0</v>
      </c>
      <c r="L404" s="63" t="str">
        <f ca="1">IF(K404="fontFamily","fontFamily",IF(K404="fontSize","fontSize",IFERROR(INDEX(Elements!M:M,MATCH(Design!J404&amp;"|"&amp;Design!K404,Elements!N:N,0)),"")))</f>
        <v/>
      </c>
      <c r="M404" s="65" t="str">
        <f ca="1">IF(OR(L404="",L404="fill"),"",MATCH(IF(L404="enumeration",J404&amp;"|"&amp;G404,Design!L404),Elements!N:N,0))</f>
        <v/>
      </c>
      <c r="N404" s="65" t="str">
        <f t="shared" si="91"/>
        <v/>
      </c>
      <c r="O404" s="65" t="str">
        <f ca="1">"Elements!"&amp;INDEX(Elements!H:H,MATCH(Design!J404,Elements!J:J,0))</f>
        <v>Elements!K36:K44</v>
      </c>
      <c r="P404" s="65" t="str">
        <f t="shared" ca="1" si="84"/>
        <v>"</v>
      </c>
      <c r="Q404" s="75" t="str">
        <f t="shared" si="88"/>
        <v/>
      </c>
      <c r="R404" s="5" t="str">
        <f t="shared" si="89"/>
        <v/>
      </c>
      <c r="S404" s="5" t="str">
        <f t="shared" si="87"/>
        <v/>
      </c>
      <c r="T404" s="76" t="str">
        <f t="shared" si="90"/>
        <v/>
      </c>
      <c r="U404" s="5">
        <f t="shared" si="85"/>
        <v>0</v>
      </c>
      <c r="V404" s="5">
        <f t="shared" si="85"/>
        <v>0</v>
      </c>
      <c r="W404" s="77" t="str">
        <f t="shared" si="92"/>
        <v/>
      </c>
      <c r="X404" s="65" t="str">
        <f t="shared" si="93"/>
        <v/>
      </c>
      <c r="Y404" s="78" t="str">
        <f t="shared" si="94"/>
        <v/>
      </c>
      <c r="Z404" s="21"/>
      <c r="AA404" s="138"/>
      <c r="AB404" s="21"/>
    </row>
    <row r="405" spans="1:28" x14ac:dyDescent="0.25">
      <c r="A405" s="21"/>
      <c r="B405" s="18"/>
      <c r="C405" s="85" t="str">
        <f>IF(B405="","",INDEX(Elements!B:B,MATCH(Design!B405,Elements!A:A,0)))</f>
        <v/>
      </c>
      <c r="D405" s="13"/>
      <c r="E405" s="85" t="str">
        <f>IFERROR(IF(D405="","",INDEX(Elements!J:J,MATCH(Design!D405,Elements!I:I,0))),SUBSTITUTE(D405," ",""))</f>
        <v/>
      </c>
      <c r="F405" s="13"/>
      <c r="G405" s="84" t="str">
        <f>IFERROR(IF(F405="","",INDEX(Elements!L:L,MATCH(Design!F405,Elements!K:K,0))),F405)</f>
        <v/>
      </c>
      <c r="H405" s="12"/>
      <c r="I405" s="14"/>
      <c r="J405" s="63" t="str">
        <f t="shared" ca="1" si="82"/>
        <v>columnHeaders</v>
      </c>
      <c r="K405" s="63">
        <f t="shared" ca="1" si="86"/>
        <v>0</v>
      </c>
      <c r="L405" s="63" t="str">
        <f ca="1">IF(K405="fontFamily","fontFamily",IF(K405="fontSize","fontSize",IFERROR(INDEX(Elements!M:M,MATCH(Design!J405&amp;"|"&amp;Design!K405,Elements!N:N,0)),"")))</f>
        <v/>
      </c>
      <c r="M405" s="65" t="str">
        <f ca="1">IF(OR(L405="",L405="fill"),"",MATCH(IF(L405="enumeration",J405&amp;"|"&amp;G405,Design!L405),Elements!N:N,0))</f>
        <v/>
      </c>
      <c r="N405" s="65" t="str">
        <f t="shared" si="91"/>
        <v/>
      </c>
      <c r="O405" s="65" t="str">
        <f ca="1">"Elements!"&amp;INDEX(Elements!H:H,MATCH(Design!J405,Elements!J:J,0))</f>
        <v>Elements!K36:K44</v>
      </c>
      <c r="P405" s="65" t="str">
        <f t="shared" ca="1" si="84"/>
        <v>"</v>
      </c>
      <c r="Q405" s="75" t="str">
        <f t="shared" si="88"/>
        <v/>
      </c>
      <c r="R405" s="5" t="str">
        <f t="shared" si="89"/>
        <v/>
      </c>
      <c r="S405" s="5" t="str">
        <f t="shared" si="87"/>
        <v/>
      </c>
      <c r="T405" s="76" t="str">
        <f t="shared" si="90"/>
        <v/>
      </c>
      <c r="U405" s="5">
        <f t="shared" si="85"/>
        <v>0</v>
      </c>
      <c r="V405" s="5">
        <f t="shared" si="85"/>
        <v>0</v>
      </c>
      <c r="W405" s="77" t="str">
        <f t="shared" si="92"/>
        <v/>
      </c>
      <c r="X405" s="65" t="str">
        <f t="shared" si="93"/>
        <v/>
      </c>
      <c r="Y405" s="78" t="str">
        <f t="shared" si="94"/>
        <v/>
      </c>
      <c r="Z405" s="21"/>
      <c r="AA405" s="138"/>
      <c r="AB405" s="21"/>
    </row>
    <row r="406" spans="1:28" x14ac:dyDescent="0.25">
      <c r="A406" s="21"/>
      <c r="B406" s="18"/>
      <c r="C406" s="85" t="str">
        <f>IF(B406="","",INDEX(Elements!B:B,MATCH(Design!B406,Elements!A:A,0)))</f>
        <v/>
      </c>
      <c r="D406" s="13"/>
      <c r="E406" s="85" t="str">
        <f>IFERROR(IF(D406="","",INDEX(Elements!J:J,MATCH(Design!D406,Elements!I:I,0))),SUBSTITUTE(D406," ",""))</f>
        <v/>
      </c>
      <c r="F406" s="13"/>
      <c r="G406" s="84" t="str">
        <f>IFERROR(IF(F406="","",INDEX(Elements!L:L,MATCH(Design!F406,Elements!K:K,0))),F406)</f>
        <v/>
      </c>
      <c r="H406" s="12"/>
      <c r="I406" s="14"/>
      <c r="J406" s="63" t="str">
        <f t="shared" ca="1" si="82"/>
        <v>columnHeaders</v>
      </c>
      <c r="K406" s="63">
        <f t="shared" ca="1" si="86"/>
        <v>0</v>
      </c>
      <c r="L406" s="63" t="str">
        <f ca="1">IF(K406="fontFamily","fontFamily",IF(K406="fontSize","fontSize",IFERROR(INDEX(Elements!M:M,MATCH(Design!J406&amp;"|"&amp;Design!K406,Elements!N:N,0)),"")))</f>
        <v/>
      </c>
      <c r="M406" s="65" t="str">
        <f ca="1">IF(OR(L406="",L406="fill"),"",MATCH(IF(L406="enumeration",J406&amp;"|"&amp;G406,Design!L406),Elements!N:N,0))</f>
        <v/>
      </c>
      <c r="N406" s="65" t="str">
        <f t="shared" si="91"/>
        <v/>
      </c>
      <c r="O406" s="65" t="str">
        <f ca="1">"Elements!"&amp;INDEX(Elements!H:H,MATCH(Design!J406,Elements!J:J,0))</f>
        <v>Elements!K36:K44</v>
      </c>
      <c r="P406" s="65" t="str">
        <f t="shared" ca="1" si="84"/>
        <v>"</v>
      </c>
      <c r="Q406" s="75" t="str">
        <f t="shared" si="88"/>
        <v/>
      </c>
      <c r="R406" s="5" t="str">
        <f t="shared" si="89"/>
        <v/>
      </c>
      <c r="S406" s="5" t="str">
        <f t="shared" si="87"/>
        <v/>
      </c>
      <c r="T406" s="76" t="str">
        <f t="shared" si="90"/>
        <v/>
      </c>
      <c r="U406" s="5">
        <f t="shared" si="85"/>
        <v>0</v>
      </c>
      <c r="V406" s="5">
        <f t="shared" si="85"/>
        <v>0</v>
      </c>
      <c r="W406" s="77" t="str">
        <f t="shared" si="92"/>
        <v/>
      </c>
      <c r="X406" s="65" t="str">
        <f t="shared" si="93"/>
        <v/>
      </c>
      <c r="Y406" s="78" t="str">
        <f t="shared" si="94"/>
        <v/>
      </c>
      <c r="Z406" s="21"/>
      <c r="AA406" s="138"/>
      <c r="AB406" s="21"/>
    </row>
    <row r="407" spans="1:28" x14ac:dyDescent="0.25">
      <c r="A407" s="21"/>
      <c r="B407" s="18"/>
      <c r="C407" s="85" t="str">
        <f>IF(B407="","",INDEX(Elements!B:B,MATCH(Design!B407,Elements!A:A,0)))</f>
        <v/>
      </c>
      <c r="D407" s="13"/>
      <c r="E407" s="85" t="str">
        <f>IFERROR(IF(D407="","",INDEX(Elements!J:J,MATCH(Design!D407,Elements!I:I,0))),SUBSTITUTE(D407," ",""))</f>
        <v/>
      </c>
      <c r="F407" s="13"/>
      <c r="G407" s="84" t="str">
        <f>IFERROR(IF(F407="","",INDEX(Elements!L:L,MATCH(Design!F407,Elements!K:K,0))),F407)</f>
        <v/>
      </c>
      <c r="H407" s="12"/>
      <c r="I407" s="14"/>
      <c r="J407" s="63" t="str">
        <f t="shared" ca="1" si="82"/>
        <v>columnHeaders</v>
      </c>
      <c r="K407" s="63">
        <f t="shared" ca="1" si="86"/>
        <v>0</v>
      </c>
      <c r="L407" s="63" t="str">
        <f ca="1">IF(K407="fontFamily","fontFamily",IF(K407="fontSize","fontSize",IFERROR(INDEX(Elements!M:M,MATCH(Design!J407&amp;"|"&amp;Design!K407,Elements!N:N,0)),"")))</f>
        <v/>
      </c>
      <c r="M407" s="65" t="str">
        <f ca="1">IF(OR(L407="",L407="fill"),"",MATCH(IF(L407="enumeration",J407&amp;"|"&amp;G407,Design!L407),Elements!N:N,0))</f>
        <v/>
      </c>
      <c r="N407" s="65" t="str">
        <f t="shared" si="91"/>
        <v/>
      </c>
      <c r="O407" s="65" t="str">
        <f ca="1">"Elements!"&amp;INDEX(Elements!H:H,MATCH(Design!J407,Elements!J:J,0))</f>
        <v>Elements!K36:K44</v>
      </c>
      <c r="P407" s="65" t="str">
        <f t="shared" ca="1" si="84"/>
        <v>"</v>
      </c>
      <c r="Q407" s="75" t="str">
        <f t="shared" si="88"/>
        <v/>
      </c>
      <c r="R407" s="5" t="str">
        <f t="shared" si="89"/>
        <v/>
      </c>
      <c r="S407" s="5" t="str">
        <f t="shared" si="87"/>
        <v/>
      </c>
      <c r="T407" s="76" t="str">
        <f t="shared" si="90"/>
        <v/>
      </c>
      <c r="U407" s="5">
        <f t="shared" si="85"/>
        <v>0</v>
      </c>
      <c r="V407" s="5">
        <f t="shared" si="85"/>
        <v>0</v>
      </c>
      <c r="W407" s="77" t="str">
        <f t="shared" si="92"/>
        <v/>
      </c>
      <c r="X407" s="65" t="str">
        <f t="shared" si="93"/>
        <v/>
      </c>
      <c r="Y407" s="78" t="str">
        <f t="shared" si="94"/>
        <v/>
      </c>
      <c r="Z407" s="21"/>
      <c r="AA407" s="138"/>
      <c r="AB407" s="21"/>
    </row>
    <row r="408" spans="1:28" x14ac:dyDescent="0.25">
      <c r="A408" s="62"/>
      <c r="B408" s="112"/>
      <c r="C408" s="112"/>
      <c r="D408" s="112"/>
      <c r="E408" s="112"/>
      <c r="F408" s="112"/>
      <c r="G408" s="112"/>
      <c r="H408" s="112"/>
      <c r="I408" s="112"/>
      <c r="J408" s="63"/>
      <c r="K408" s="63"/>
      <c r="L408" s="63"/>
      <c r="M408" s="65"/>
      <c r="N408" s="65"/>
      <c r="O408" s="65"/>
      <c r="P408" s="65"/>
      <c r="Q408" s="75"/>
      <c r="R408" s="5"/>
      <c r="S408" s="5"/>
      <c r="T408" s="76"/>
      <c r="U408" s="5"/>
      <c r="V408" s="5"/>
      <c r="W408" s="77"/>
      <c r="X408" s="65"/>
      <c r="Y408" s="78"/>
      <c r="Z408" s="21"/>
      <c r="AA408" s="61"/>
      <c r="AB408" s="21"/>
    </row>
    <row r="409" spans="1:28" s="81" customFormat="1" x14ac:dyDescent="0.25">
      <c r="A409" s="62"/>
      <c r="B409" s="88"/>
      <c r="C409" s="87" t="s">
        <v>210</v>
      </c>
      <c r="D409" s="87"/>
      <c r="E409" s="87" t="s">
        <v>207</v>
      </c>
      <c r="F409" s="87"/>
      <c r="G409" s="87"/>
      <c r="H409" s="87"/>
      <c r="I409" s="87"/>
      <c r="J409" s="63" t="str">
        <f t="shared" ca="1" si="82"/>
        <v>end</v>
      </c>
      <c r="K409" s="63">
        <f t="shared" ca="1" si="86"/>
        <v>0</v>
      </c>
      <c r="L409" s="63" t="str">
        <f ca="1">IF(K409="fontFamily","fontFamily",IF(K409="fontSize","fontSize",IFERROR(INDEX(Elements!M:M,MATCH(Design!J409&amp;"|"&amp;Design!K409,Elements!N:N,0)),"")))</f>
        <v/>
      </c>
      <c r="M409" s="65"/>
      <c r="N409" s="65"/>
      <c r="O409" s="65" t="e">
        <f ca="1">"Elements!"&amp;INDEX(Elements!H:H,MATCH(Design!J409,Elements!J:J,0))</f>
        <v>#N/A</v>
      </c>
      <c r="P409" s="65" t="str">
        <f t="shared" ca="1" si="84"/>
        <v>"</v>
      </c>
      <c r="Q409" s="75"/>
      <c r="R409" s="5"/>
      <c r="S409" s="5"/>
      <c r="T409" s="80"/>
      <c r="U409" s="5">
        <f ca="1">SUM(U3:U408)</f>
        <v>13</v>
      </c>
      <c r="V409" s="5">
        <f ca="1">SUM(V3:V407)</f>
        <v>9</v>
      </c>
      <c r="W409" s="77"/>
      <c r="X409" s="65"/>
      <c r="Y409" s="78"/>
      <c r="Z409" s="21"/>
      <c r="AA409" s="21"/>
      <c r="AB409" s="21"/>
    </row>
    <row r="410" spans="1:28" collapsed="1" x14ac:dyDescent="0.25">
      <c r="Q410" s="75" t="str">
        <f>IF(C410&lt;&gt;"","]},"&amp;CHAR(34)&amp;C410&amp;CHAR(34)&amp;":{"&amp;CHAR(34)&amp;"*"&amp;CHAR(34)&amp;":{","")</f>
        <v/>
      </c>
      <c r="T410" s="76" t="str">
        <f ca="1">LEFT(U410,(U409-V409))</f>
        <v>}}}}</v>
      </c>
      <c r="U410" s="72" t="s">
        <v>534</v>
      </c>
    </row>
  </sheetData>
  <sheetProtection formatCells="0"/>
  <mergeCells count="9">
    <mergeCell ref="B2:B9"/>
    <mergeCell ref="T8:T14"/>
    <mergeCell ref="AA3:AA407"/>
    <mergeCell ref="C3:H3"/>
    <mergeCell ref="Q8:Q14"/>
    <mergeCell ref="C16:G16"/>
    <mergeCell ref="H16:I16"/>
    <mergeCell ref="C57:G57"/>
    <mergeCell ref="H57:I57"/>
  </mergeCells>
  <conditionalFormatting sqref="B58:I407">
    <cfRule type="expression" dxfId="9" priority="1" stopIfTrue="1">
      <formula>$B58&lt;&gt;""</formula>
    </cfRule>
  </conditionalFormatting>
  <conditionalFormatting sqref="I23:I56">
    <cfRule type="expression" dxfId="8" priority="15">
      <formula>$B23&lt;&gt;""</formula>
    </cfRule>
  </conditionalFormatting>
  <conditionalFormatting sqref="F24:F56 F58:F407">
    <cfRule type="expression" dxfId="7" priority="8">
      <formula>$E23&lt;&gt;""</formula>
    </cfRule>
  </conditionalFormatting>
  <conditionalFormatting sqref="F25:F56 D25:D56 D58:D407 F58:F407 B59:B407">
    <cfRule type="expression" dxfId="6" priority="49">
      <formula>$F24&lt;&gt;""</formula>
    </cfRule>
  </conditionalFormatting>
  <conditionalFormatting sqref="D24:D56 D58:D407 B58:B407">
    <cfRule type="expression" dxfId="5" priority="7">
      <formula>$F24&lt;&gt;""</formula>
    </cfRule>
  </conditionalFormatting>
  <conditionalFormatting sqref="H58:H407 H23:H56">
    <cfRule type="expression" dxfId="4" priority="5">
      <formula>AND($N23&lt;&gt;"",$N23&lt;&gt;"Design!$A$1",LEFT($H23,1)&lt;&gt;"#")</formula>
    </cfRule>
    <cfRule type="expression" dxfId="3" priority="4">
      <formula>$F23=""</formula>
    </cfRule>
  </conditionalFormatting>
  <conditionalFormatting sqref="I23:I56 I58:I407">
    <cfRule type="expression" dxfId="2" priority="3">
      <formula>$N23="Design!$A$1"</formula>
    </cfRule>
  </conditionalFormatting>
  <conditionalFormatting sqref="F24:F56 F58:F407 B58:B407">
    <cfRule type="expression" dxfId="1" priority="6">
      <formula>$D24&lt;&gt;""</formula>
    </cfRule>
  </conditionalFormatting>
  <conditionalFormatting sqref="D59:D407">
    <cfRule type="expression" dxfId="0" priority="2">
      <formula>$B58&lt;&gt;""</formula>
    </cfRule>
  </conditionalFormatting>
  <dataValidations count="2">
    <dataValidation type="list" allowBlank="1" showInputMessage="1" showErrorMessage="1" sqref="F24:F56 F58:F407" xr:uid="{00000000-0002-0000-0100-000000000000}">
      <formula1>INDIRECT($O24)</formula1>
    </dataValidation>
    <dataValidation type="list" allowBlank="1" showInputMessage="1" showErrorMessage="1" sqref="H17:H56 H58:H407" xr:uid="{00000000-0002-0000-0100-000001000000}">
      <formula1>INDIRECT($N17)</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Elements!$A:$A</xm:f>
          </x14:formula1>
          <xm:sqref>B23:B56 B58:B407 B409</xm:sqref>
        </x14:dataValidation>
        <x14:dataValidation type="list" allowBlank="1" showInputMessage="1" showErrorMessage="1" xr:uid="{00000000-0002-0000-0100-000003000000}">
          <x14:formula1>
            <xm:f>Elements!$D$2:$D$53</xm:f>
          </x14:formula1>
          <xm:sqref>D23:D56 D58:D407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Elements"/>
  <dimension ref="A1:AU330"/>
  <sheetViews>
    <sheetView topLeftCell="J1" workbookViewId="0">
      <pane ySplit="1" topLeftCell="A55" activePane="bottomLeft" state="frozen"/>
      <selection pane="bottomLeft" activeCell="O67" sqref="O67"/>
    </sheetView>
  </sheetViews>
  <sheetFormatPr defaultColWidth="25.85546875" defaultRowHeight="15" x14ac:dyDescent="0.25"/>
  <cols>
    <col min="1" max="1" width="25.85546875" style="32"/>
    <col min="2" max="2" width="31.85546875" style="44" customWidth="1"/>
    <col min="3" max="3" width="4.42578125" style="44" customWidth="1"/>
    <col min="4" max="5" width="31.85546875" style="44" customWidth="1"/>
    <col min="6" max="6" width="5.85546875" style="44" customWidth="1"/>
    <col min="7" max="7" width="5.85546875" style="45" hidden="1" customWidth="1"/>
    <col min="8" max="8" width="9.85546875" style="45" hidden="1" customWidth="1"/>
    <col min="9" max="9" width="25.85546875" style="32"/>
    <col min="10" max="10" width="25.85546875" style="46"/>
    <col min="11" max="11" width="25.85546875" style="32"/>
    <col min="12" max="13" width="25.85546875" style="46"/>
    <col min="14" max="14" width="25.85546875" style="47" hidden="1" customWidth="1"/>
    <col min="15" max="15" width="12.7109375" style="48" customWidth="1"/>
    <col min="16" max="16" width="13.85546875" style="48" customWidth="1"/>
    <col min="17" max="17" width="14.85546875" style="48" customWidth="1"/>
    <col min="18" max="18" width="11.5703125" style="48" customWidth="1"/>
    <col min="19" max="19" width="20.42578125" style="48" customWidth="1"/>
    <col min="20" max="20" width="21.42578125" style="48" customWidth="1"/>
    <col min="21" max="21" width="28.5703125" style="48" customWidth="1"/>
    <col min="22" max="22" width="10.5703125" style="48" customWidth="1"/>
    <col min="23" max="47" width="2.85546875" style="48" customWidth="1"/>
    <col min="48" max="16384" width="25.85546875" style="32"/>
  </cols>
  <sheetData>
    <row r="1" spans="1:47" x14ac:dyDescent="0.25">
      <c r="A1" s="25" t="s">
        <v>94</v>
      </c>
      <c r="B1" s="25" t="s">
        <v>180</v>
      </c>
      <c r="C1" s="26"/>
      <c r="D1" s="27" t="s">
        <v>508</v>
      </c>
      <c r="E1" s="25" t="s">
        <v>59</v>
      </c>
      <c r="F1" s="26"/>
      <c r="G1" s="28"/>
      <c r="H1" s="28"/>
      <c r="I1" s="25" t="s">
        <v>508</v>
      </c>
      <c r="J1" s="29" t="s">
        <v>59</v>
      </c>
      <c r="K1" s="25" t="s">
        <v>48</v>
      </c>
      <c r="L1" s="29" t="s">
        <v>60</v>
      </c>
      <c r="M1" s="29" t="s">
        <v>61</v>
      </c>
      <c r="N1" s="30" t="s">
        <v>503</v>
      </c>
      <c r="O1" s="25" t="s">
        <v>504</v>
      </c>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row>
    <row r="2" spans="1:47" x14ac:dyDescent="0.25">
      <c r="A2" s="33" t="s">
        <v>181</v>
      </c>
      <c r="B2" s="34" t="s">
        <v>66</v>
      </c>
      <c r="C2" s="35"/>
      <c r="D2" s="36" t="s">
        <v>139</v>
      </c>
      <c r="E2" s="34" t="s">
        <v>96</v>
      </c>
      <c r="F2" s="35"/>
      <c r="G2" s="37"/>
      <c r="H2" s="37"/>
      <c r="I2" s="38"/>
      <c r="J2" s="29"/>
      <c r="K2" s="38"/>
      <c r="L2" s="39" t="s">
        <v>5</v>
      </c>
      <c r="M2" s="39"/>
      <c r="N2" s="40" t="s">
        <v>5</v>
      </c>
      <c r="O2" s="31" t="s">
        <v>42</v>
      </c>
      <c r="P2" s="31" t="s">
        <v>43</v>
      </c>
      <c r="Q2" s="31" t="s">
        <v>44</v>
      </c>
      <c r="R2" s="31" t="s">
        <v>45</v>
      </c>
      <c r="S2" s="31" t="s">
        <v>46</v>
      </c>
      <c r="T2" s="31" t="s">
        <v>47</v>
      </c>
      <c r="U2" s="31" t="s">
        <v>509</v>
      </c>
      <c r="V2" s="31" t="s">
        <v>510</v>
      </c>
      <c r="W2" s="31" t="s">
        <v>511</v>
      </c>
      <c r="X2" s="31" t="s">
        <v>512</v>
      </c>
      <c r="Y2" s="31" t="s">
        <v>513</v>
      </c>
      <c r="Z2" s="31" t="s">
        <v>514</v>
      </c>
      <c r="AA2" s="31" t="s">
        <v>515</v>
      </c>
      <c r="AB2" s="31" t="s">
        <v>516</v>
      </c>
      <c r="AC2" s="31" t="s">
        <v>517</v>
      </c>
      <c r="AD2" s="31" t="s">
        <v>518</v>
      </c>
      <c r="AE2" s="31" t="s">
        <v>519</v>
      </c>
      <c r="AF2" s="31" t="s">
        <v>520</v>
      </c>
      <c r="AG2" s="31" t="s">
        <v>521</v>
      </c>
      <c r="AH2" s="31" t="s">
        <v>522</v>
      </c>
      <c r="AI2" s="31" t="s">
        <v>523</v>
      </c>
      <c r="AJ2" s="31" t="s">
        <v>524</v>
      </c>
      <c r="AK2" s="31"/>
      <c r="AL2" s="31"/>
      <c r="AM2" s="31"/>
      <c r="AN2" s="31"/>
      <c r="AO2" s="31"/>
      <c r="AP2" s="31"/>
      <c r="AQ2" s="31"/>
      <c r="AR2" s="31"/>
      <c r="AS2" s="31"/>
      <c r="AT2" s="31"/>
      <c r="AU2" s="31"/>
    </row>
    <row r="3" spans="1:47" x14ac:dyDescent="0.25">
      <c r="A3" s="33" t="s">
        <v>10</v>
      </c>
      <c r="B3" s="34" t="s">
        <v>9</v>
      </c>
      <c r="C3" s="35"/>
      <c r="D3" s="34" t="s">
        <v>140</v>
      </c>
      <c r="E3" s="34" t="s">
        <v>97</v>
      </c>
      <c r="F3" s="35"/>
      <c r="G3" s="37"/>
      <c r="H3" s="37" t="s">
        <v>48</v>
      </c>
      <c r="I3" s="38"/>
      <c r="J3" s="29"/>
      <c r="K3" s="38"/>
      <c r="L3" s="39" t="s">
        <v>4</v>
      </c>
      <c r="M3" s="39"/>
      <c r="N3" s="40" t="s">
        <v>4</v>
      </c>
      <c r="O3" s="31">
        <v>8</v>
      </c>
      <c r="P3" s="31">
        <v>9</v>
      </c>
      <c r="Q3" s="31">
        <v>10</v>
      </c>
      <c r="R3" s="31">
        <v>11</v>
      </c>
      <c r="S3" s="31">
        <v>12</v>
      </c>
      <c r="T3" s="31">
        <v>13</v>
      </c>
      <c r="U3" s="31">
        <v>14</v>
      </c>
      <c r="V3" s="31">
        <v>15</v>
      </c>
      <c r="W3" s="31">
        <v>16</v>
      </c>
      <c r="X3" s="31">
        <v>17</v>
      </c>
      <c r="Y3" s="31">
        <v>18</v>
      </c>
      <c r="Z3" s="31">
        <v>19</v>
      </c>
      <c r="AA3" s="31">
        <v>20</v>
      </c>
      <c r="AB3" s="31">
        <v>21</v>
      </c>
      <c r="AC3" s="31">
        <v>22</v>
      </c>
      <c r="AD3" s="31">
        <v>23</v>
      </c>
      <c r="AE3" s="31">
        <v>24</v>
      </c>
      <c r="AF3" s="31">
        <v>25</v>
      </c>
      <c r="AG3" s="31">
        <v>26</v>
      </c>
      <c r="AH3" s="31">
        <v>27</v>
      </c>
      <c r="AI3" s="31">
        <v>28</v>
      </c>
      <c r="AJ3" s="31">
        <v>29</v>
      </c>
      <c r="AK3" s="31">
        <v>30</v>
      </c>
      <c r="AL3" s="31">
        <v>31</v>
      </c>
      <c r="AM3" s="31">
        <v>32</v>
      </c>
      <c r="AN3" s="31">
        <v>33</v>
      </c>
      <c r="AO3" s="31">
        <v>34</v>
      </c>
      <c r="AP3" s="31">
        <v>35</v>
      </c>
      <c r="AQ3" s="31">
        <v>36</v>
      </c>
      <c r="AR3" s="31">
        <v>37</v>
      </c>
      <c r="AS3" s="31">
        <v>38</v>
      </c>
      <c r="AT3" s="31">
        <v>39</v>
      </c>
      <c r="AU3" s="31">
        <v>40</v>
      </c>
    </row>
    <row r="4" spans="1:47" x14ac:dyDescent="0.25">
      <c r="A4" s="33" t="s">
        <v>182</v>
      </c>
      <c r="B4" s="34" t="s">
        <v>67</v>
      </c>
      <c r="C4" s="35"/>
      <c r="D4" s="34" t="s">
        <v>141</v>
      </c>
      <c r="E4" s="34" t="s">
        <v>98</v>
      </c>
      <c r="F4" s="35"/>
      <c r="G4" s="37"/>
      <c r="H4" s="37" t="s">
        <v>525</v>
      </c>
      <c r="I4" s="38"/>
      <c r="J4" s="29"/>
      <c r="K4" s="38"/>
      <c r="L4" s="39" t="s">
        <v>304</v>
      </c>
      <c r="M4" s="39"/>
      <c r="N4" s="40" t="s">
        <v>304</v>
      </c>
      <c r="O4" s="41" t="s">
        <v>36</v>
      </c>
      <c r="P4" s="41" t="s">
        <v>37</v>
      </c>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row>
    <row r="5" spans="1:47" x14ac:dyDescent="0.25">
      <c r="A5" s="33" t="s">
        <v>183</v>
      </c>
      <c r="B5" s="34" t="s">
        <v>59</v>
      </c>
      <c r="C5" s="35"/>
      <c r="D5" s="34" t="s">
        <v>142</v>
      </c>
      <c r="E5" s="34" t="s">
        <v>59</v>
      </c>
      <c r="F5" s="35"/>
      <c r="G5" s="37">
        <f t="shared" ref="G5:G68" si="0">COUNTIF(I:I,I5)</f>
        <v>2</v>
      </c>
      <c r="H5" s="37" t="str">
        <f>IF(I5=I4,H4,"K"&amp;ROW()&amp;":K"&amp;ROW()+G5-1)</f>
        <v>K5:K6</v>
      </c>
      <c r="I5" s="33" t="s">
        <v>139</v>
      </c>
      <c r="J5" s="42" t="s">
        <v>96</v>
      </c>
      <c r="K5" s="33" t="s">
        <v>499</v>
      </c>
      <c r="L5" s="42" t="s">
        <v>421</v>
      </c>
      <c r="M5" s="42" t="s">
        <v>422</v>
      </c>
      <c r="N5" s="43" t="str">
        <f t="shared" ref="N5:N68" si="1">J5&amp;"|"&amp;L5</f>
        <v>breakdown|maxBreakdowns</v>
      </c>
      <c r="O5" s="31" t="s">
        <v>302</v>
      </c>
      <c r="P5" s="31" t="s">
        <v>302</v>
      </c>
      <c r="Q5" s="31" t="s">
        <v>302</v>
      </c>
      <c r="R5" s="31" t="s">
        <v>302</v>
      </c>
      <c r="S5" s="31" t="s">
        <v>302</v>
      </c>
      <c r="T5" s="31" t="s">
        <v>302</v>
      </c>
      <c r="U5" s="31" t="s">
        <v>302</v>
      </c>
      <c r="V5" s="31" t="s">
        <v>302</v>
      </c>
      <c r="W5" s="31" t="s">
        <v>302</v>
      </c>
      <c r="X5" s="31" t="s">
        <v>302</v>
      </c>
      <c r="Y5" s="31" t="s">
        <v>302</v>
      </c>
      <c r="Z5" s="31" t="s">
        <v>302</v>
      </c>
      <c r="AA5" s="31" t="s">
        <v>302</v>
      </c>
      <c r="AB5" s="31" t="s">
        <v>302</v>
      </c>
      <c r="AC5" s="31"/>
      <c r="AD5" s="31"/>
      <c r="AE5" s="31"/>
      <c r="AF5" s="31"/>
      <c r="AG5" s="31"/>
      <c r="AH5" s="31"/>
      <c r="AI5" s="31"/>
      <c r="AJ5" s="31"/>
      <c r="AK5" s="31"/>
      <c r="AL5" s="31"/>
      <c r="AM5" s="31"/>
      <c r="AN5" s="31"/>
      <c r="AO5" s="31"/>
      <c r="AP5" s="31"/>
      <c r="AQ5" s="31"/>
      <c r="AR5" s="31"/>
      <c r="AS5" s="31"/>
      <c r="AT5" s="31"/>
      <c r="AU5" s="31"/>
    </row>
    <row r="6" spans="1:47" x14ac:dyDescent="0.25">
      <c r="A6" s="33" t="s">
        <v>184</v>
      </c>
      <c r="B6" s="34" t="s">
        <v>68</v>
      </c>
      <c r="C6" s="35"/>
      <c r="D6" s="34" t="s">
        <v>143</v>
      </c>
      <c r="E6" s="34" t="s">
        <v>99</v>
      </c>
      <c r="F6" s="35"/>
      <c r="G6" s="37">
        <f t="shared" si="0"/>
        <v>2</v>
      </c>
      <c r="H6" s="37" t="str">
        <f t="shared" ref="H6:H69" si="2">IF(I6=I5,H5,"K"&amp;ROW()&amp;":K"&amp;ROW()+G6-1)</f>
        <v>K5:K6</v>
      </c>
      <c r="I6" s="33" t="s">
        <v>139</v>
      </c>
      <c r="J6" s="42" t="s">
        <v>96</v>
      </c>
      <c r="K6" s="33" t="s">
        <v>420</v>
      </c>
      <c r="L6" s="42" t="s">
        <v>419</v>
      </c>
      <c r="M6" s="42" t="s">
        <v>104</v>
      </c>
      <c r="N6" s="43" t="str">
        <f t="shared" si="1"/>
        <v>breakdown|otherFill</v>
      </c>
      <c r="O6" s="31" t="s">
        <v>302</v>
      </c>
      <c r="P6" s="31" t="s">
        <v>302</v>
      </c>
      <c r="Q6" s="31" t="s">
        <v>302</v>
      </c>
      <c r="R6" s="31" t="s">
        <v>302</v>
      </c>
      <c r="S6" s="31" t="s">
        <v>302</v>
      </c>
      <c r="T6" s="31" t="s">
        <v>302</v>
      </c>
      <c r="U6" s="31" t="s">
        <v>302</v>
      </c>
      <c r="V6" s="31" t="s">
        <v>302</v>
      </c>
      <c r="W6" s="31" t="s">
        <v>302</v>
      </c>
      <c r="X6" s="31" t="s">
        <v>302</v>
      </c>
      <c r="Y6" s="31" t="s">
        <v>302</v>
      </c>
      <c r="Z6" s="31" t="s">
        <v>302</v>
      </c>
      <c r="AA6" s="31" t="s">
        <v>302</v>
      </c>
      <c r="AB6" s="31" t="s">
        <v>302</v>
      </c>
      <c r="AC6" s="31"/>
      <c r="AD6" s="31"/>
      <c r="AE6" s="31"/>
      <c r="AF6" s="31"/>
      <c r="AG6" s="31"/>
      <c r="AH6" s="31"/>
      <c r="AI6" s="31"/>
      <c r="AJ6" s="31"/>
      <c r="AK6" s="31"/>
      <c r="AL6" s="31"/>
      <c r="AM6" s="31"/>
      <c r="AN6" s="31"/>
      <c r="AO6" s="31"/>
      <c r="AP6" s="31"/>
      <c r="AQ6" s="31"/>
      <c r="AR6" s="31"/>
      <c r="AS6" s="31"/>
      <c r="AT6" s="31"/>
      <c r="AU6" s="31"/>
    </row>
    <row r="7" spans="1:47" x14ac:dyDescent="0.25">
      <c r="A7" s="33" t="s">
        <v>184</v>
      </c>
      <c r="B7" s="34" t="s">
        <v>69</v>
      </c>
      <c r="C7" s="35"/>
      <c r="D7" s="34" t="s">
        <v>144</v>
      </c>
      <c r="E7" s="34" t="s">
        <v>100</v>
      </c>
      <c r="F7" s="35"/>
      <c r="G7" s="37">
        <f t="shared" si="0"/>
        <v>1</v>
      </c>
      <c r="H7" s="37" t="str">
        <f t="shared" si="2"/>
        <v>K7:K7</v>
      </c>
      <c r="I7" s="33" t="s">
        <v>140</v>
      </c>
      <c r="J7" s="42" t="s">
        <v>97</v>
      </c>
      <c r="K7" s="33" t="s">
        <v>308</v>
      </c>
      <c r="L7" s="42" t="s">
        <v>370</v>
      </c>
      <c r="M7" s="42" t="s">
        <v>307</v>
      </c>
      <c r="N7" s="43" t="str">
        <f t="shared" si="1"/>
        <v>bubbles|bubbleSize</v>
      </c>
      <c r="O7" s="31" t="s">
        <v>302</v>
      </c>
      <c r="P7" s="31" t="s">
        <v>302</v>
      </c>
      <c r="Q7" s="31" t="s">
        <v>302</v>
      </c>
      <c r="R7" s="31" t="s">
        <v>302</v>
      </c>
      <c r="S7" s="31" t="s">
        <v>302</v>
      </c>
      <c r="T7" s="31" t="s">
        <v>302</v>
      </c>
      <c r="U7" s="31" t="s">
        <v>302</v>
      </c>
      <c r="V7" s="31" t="s">
        <v>302</v>
      </c>
      <c r="W7" s="31" t="s">
        <v>302</v>
      </c>
      <c r="X7" s="31" t="s">
        <v>302</v>
      </c>
      <c r="Y7" s="31" t="s">
        <v>302</v>
      </c>
      <c r="Z7" s="31" t="s">
        <v>302</v>
      </c>
      <c r="AA7" s="31" t="s">
        <v>302</v>
      </c>
      <c r="AB7" s="31" t="s">
        <v>302</v>
      </c>
      <c r="AC7" s="31"/>
      <c r="AD7" s="31"/>
      <c r="AE7" s="31"/>
      <c r="AF7" s="31"/>
      <c r="AG7" s="31"/>
      <c r="AH7" s="31"/>
      <c r="AI7" s="31"/>
      <c r="AJ7" s="31"/>
      <c r="AK7" s="31"/>
      <c r="AL7" s="31"/>
      <c r="AM7" s="31"/>
      <c r="AN7" s="31"/>
      <c r="AO7" s="31"/>
      <c r="AP7" s="31"/>
      <c r="AQ7" s="31"/>
      <c r="AR7" s="31"/>
      <c r="AS7" s="31"/>
      <c r="AT7" s="31"/>
      <c r="AU7" s="31"/>
    </row>
    <row r="8" spans="1:47" x14ac:dyDescent="0.25">
      <c r="A8" s="33" t="s">
        <v>185</v>
      </c>
      <c r="B8" s="34" t="s">
        <v>70</v>
      </c>
      <c r="C8" s="35"/>
      <c r="D8" s="34" t="s">
        <v>169</v>
      </c>
      <c r="E8" s="34" t="s">
        <v>127</v>
      </c>
      <c r="F8" s="35"/>
      <c r="G8" s="37">
        <f t="shared" si="0"/>
        <v>5</v>
      </c>
      <c r="H8" s="37" t="str">
        <f t="shared" si="2"/>
        <v>K8:K12</v>
      </c>
      <c r="I8" s="33" t="s">
        <v>141</v>
      </c>
      <c r="J8" s="42" t="s">
        <v>98</v>
      </c>
      <c r="K8" s="33" t="s">
        <v>15</v>
      </c>
      <c r="L8" s="42" t="s">
        <v>315</v>
      </c>
      <c r="M8" s="42" t="s">
        <v>104</v>
      </c>
      <c r="N8" s="43" t="str">
        <f t="shared" si="1"/>
        <v>calloutValue|color</v>
      </c>
      <c r="O8" s="31" t="s">
        <v>302</v>
      </c>
      <c r="P8" s="31" t="s">
        <v>302</v>
      </c>
      <c r="Q8" s="31" t="s">
        <v>302</v>
      </c>
      <c r="R8" s="31" t="s">
        <v>302</v>
      </c>
      <c r="S8" s="31" t="s">
        <v>302</v>
      </c>
      <c r="T8" s="31" t="s">
        <v>302</v>
      </c>
      <c r="U8" s="31" t="s">
        <v>302</v>
      </c>
      <c r="V8" s="31" t="s">
        <v>302</v>
      </c>
      <c r="W8" s="31" t="s">
        <v>302</v>
      </c>
      <c r="X8" s="31" t="s">
        <v>302</v>
      </c>
      <c r="Y8" s="31" t="s">
        <v>302</v>
      </c>
      <c r="Z8" s="31" t="s">
        <v>302</v>
      </c>
      <c r="AA8" s="31" t="s">
        <v>302</v>
      </c>
      <c r="AB8" s="31" t="s">
        <v>302</v>
      </c>
      <c r="AC8" s="31"/>
      <c r="AD8" s="31"/>
      <c r="AE8" s="31"/>
      <c r="AF8" s="31"/>
      <c r="AG8" s="31"/>
      <c r="AH8" s="31"/>
      <c r="AI8" s="31"/>
      <c r="AJ8" s="31"/>
      <c r="AK8" s="31"/>
      <c r="AL8" s="31"/>
      <c r="AM8" s="31"/>
      <c r="AN8" s="31"/>
      <c r="AO8" s="31"/>
      <c r="AP8" s="31"/>
      <c r="AQ8" s="31"/>
      <c r="AR8" s="31"/>
      <c r="AS8" s="31"/>
      <c r="AT8" s="31"/>
      <c r="AU8" s="31"/>
    </row>
    <row r="9" spans="1:47" x14ac:dyDescent="0.25">
      <c r="A9" s="33" t="s">
        <v>186</v>
      </c>
      <c r="B9" s="34" t="s">
        <v>71</v>
      </c>
      <c r="C9" s="35"/>
      <c r="D9" s="34" t="s">
        <v>376</v>
      </c>
      <c r="E9" s="34" t="s">
        <v>376</v>
      </c>
      <c r="F9" s="35"/>
      <c r="G9" s="37">
        <f t="shared" si="0"/>
        <v>5</v>
      </c>
      <c r="H9" s="37" t="str">
        <f t="shared" si="2"/>
        <v>K8:K12</v>
      </c>
      <c r="I9" s="33" t="s">
        <v>141</v>
      </c>
      <c r="J9" s="42" t="s">
        <v>98</v>
      </c>
      <c r="K9" s="33" t="s">
        <v>27</v>
      </c>
      <c r="L9" s="42" t="s">
        <v>214</v>
      </c>
      <c r="M9" s="42" t="s">
        <v>307</v>
      </c>
      <c r="N9" s="43" t="str">
        <f t="shared" si="1"/>
        <v>calloutValue|labelDisplayUnits</v>
      </c>
      <c r="O9" s="31" t="s">
        <v>302</v>
      </c>
      <c r="P9" s="31" t="s">
        <v>302</v>
      </c>
      <c r="Q9" s="31" t="s">
        <v>302</v>
      </c>
      <c r="R9" s="31" t="s">
        <v>302</v>
      </c>
      <c r="S9" s="31" t="s">
        <v>302</v>
      </c>
      <c r="T9" s="31" t="s">
        <v>302</v>
      </c>
      <c r="U9" s="31" t="s">
        <v>302</v>
      </c>
      <c r="V9" s="31" t="s">
        <v>302</v>
      </c>
      <c r="W9" s="31" t="s">
        <v>302</v>
      </c>
      <c r="X9" s="31" t="s">
        <v>302</v>
      </c>
      <c r="Y9" s="31" t="s">
        <v>302</v>
      </c>
      <c r="Z9" s="31" t="s">
        <v>302</v>
      </c>
      <c r="AA9" s="31" t="s">
        <v>302</v>
      </c>
      <c r="AB9" s="31" t="s">
        <v>302</v>
      </c>
      <c r="AC9" s="31"/>
      <c r="AD9" s="31"/>
      <c r="AE9" s="31"/>
      <c r="AF9" s="31"/>
      <c r="AG9" s="31"/>
      <c r="AH9" s="31"/>
      <c r="AI9" s="31"/>
      <c r="AJ9" s="31"/>
      <c r="AK9" s="31"/>
      <c r="AL9" s="31"/>
      <c r="AM9" s="31"/>
      <c r="AN9" s="31"/>
      <c r="AO9" s="31"/>
      <c r="AP9" s="31"/>
      <c r="AQ9" s="31"/>
      <c r="AR9" s="31"/>
      <c r="AS9" s="31"/>
      <c r="AT9" s="31"/>
      <c r="AU9" s="31"/>
    </row>
    <row r="10" spans="1:47" x14ac:dyDescent="0.25">
      <c r="A10" s="33" t="s">
        <v>187</v>
      </c>
      <c r="B10" s="34" t="s">
        <v>72</v>
      </c>
      <c r="C10" s="35"/>
      <c r="D10" s="34" t="s">
        <v>146</v>
      </c>
      <c r="E10" s="34" t="s">
        <v>102</v>
      </c>
      <c r="F10" s="35"/>
      <c r="G10" s="37">
        <f t="shared" si="0"/>
        <v>5</v>
      </c>
      <c r="H10" s="37" t="str">
        <f t="shared" si="2"/>
        <v>K8:K12</v>
      </c>
      <c r="I10" s="33" t="s">
        <v>141</v>
      </c>
      <c r="J10" s="42" t="s">
        <v>98</v>
      </c>
      <c r="K10" s="33" t="s">
        <v>17</v>
      </c>
      <c r="L10" s="42" t="s">
        <v>5</v>
      </c>
      <c r="M10" s="42" t="s">
        <v>307</v>
      </c>
      <c r="N10" s="43" t="str">
        <f t="shared" si="1"/>
        <v>calloutValue|fontFamily</v>
      </c>
      <c r="O10" s="31" t="s">
        <v>302</v>
      </c>
      <c r="P10" s="31" t="s">
        <v>302</v>
      </c>
      <c r="Q10" s="31" t="s">
        <v>302</v>
      </c>
      <c r="R10" s="31" t="s">
        <v>302</v>
      </c>
      <c r="S10" s="31" t="s">
        <v>302</v>
      </c>
      <c r="T10" s="31" t="s">
        <v>302</v>
      </c>
      <c r="U10" s="31" t="s">
        <v>302</v>
      </c>
      <c r="V10" s="31" t="s">
        <v>302</v>
      </c>
      <c r="W10" s="31" t="s">
        <v>302</v>
      </c>
      <c r="X10" s="31" t="s">
        <v>302</v>
      </c>
      <c r="Y10" s="31" t="s">
        <v>302</v>
      </c>
      <c r="Z10" s="31" t="s">
        <v>302</v>
      </c>
      <c r="AA10" s="31" t="s">
        <v>302</v>
      </c>
      <c r="AB10" s="31" t="s">
        <v>302</v>
      </c>
      <c r="AC10" s="31"/>
      <c r="AD10" s="31"/>
      <c r="AE10" s="31"/>
      <c r="AF10" s="31"/>
      <c r="AG10" s="31"/>
      <c r="AH10" s="31"/>
      <c r="AI10" s="31"/>
      <c r="AJ10" s="31"/>
      <c r="AK10" s="31"/>
      <c r="AL10" s="31"/>
      <c r="AM10" s="31"/>
      <c r="AN10" s="31"/>
      <c r="AO10" s="31"/>
      <c r="AP10" s="31"/>
      <c r="AQ10" s="31"/>
      <c r="AR10" s="31"/>
      <c r="AS10" s="31"/>
      <c r="AT10" s="31"/>
      <c r="AU10" s="31"/>
    </row>
    <row r="11" spans="1:47" x14ac:dyDescent="0.25">
      <c r="A11" s="33" t="s">
        <v>188</v>
      </c>
      <c r="B11" s="34" t="s">
        <v>73</v>
      </c>
      <c r="C11" s="35"/>
      <c r="D11" s="34" t="s">
        <v>162</v>
      </c>
      <c r="E11" s="34" t="s">
        <v>120</v>
      </c>
      <c r="F11" s="35"/>
      <c r="G11" s="37">
        <f t="shared" si="0"/>
        <v>5</v>
      </c>
      <c r="H11" s="37" t="str">
        <f t="shared" si="2"/>
        <v>K8:K12</v>
      </c>
      <c r="I11" s="33" t="s">
        <v>141</v>
      </c>
      <c r="J11" s="42" t="s">
        <v>98</v>
      </c>
      <c r="K11" s="33" t="s">
        <v>213</v>
      </c>
      <c r="L11" s="42" t="s">
        <v>54</v>
      </c>
      <c r="M11" s="42" t="s">
        <v>304</v>
      </c>
      <c r="N11" s="43" t="str">
        <f t="shared" si="1"/>
        <v>calloutValue|show</v>
      </c>
      <c r="O11" s="31" t="s">
        <v>302</v>
      </c>
      <c r="P11" s="31" t="s">
        <v>302</v>
      </c>
      <c r="Q11" s="31" t="s">
        <v>302</v>
      </c>
      <c r="R11" s="31" t="s">
        <v>302</v>
      </c>
      <c r="S11" s="31" t="s">
        <v>302</v>
      </c>
      <c r="T11" s="31" t="s">
        <v>302</v>
      </c>
      <c r="U11" s="31" t="s">
        <v>302</v>
      </c>
      <c r="V11" s="31" t="s">
        <v>302</v>
      </c>
      <c r="W11" s="31" t="s">
        <v>302</v>
      </c>
      <c r="X11" s="31" t="s">
        <v>302</v>
      </c>
      <c r="Y11" s="31" t="s">
        <v>302</v>
      </c>
      <c r="Z11" s="31" t="s">
        <v>302</v>
      </c>
      <c r="AA11" s="31" t="s">
        <v>302</v>
      </c>
      <c r="AB11" s="31" t="s">
        <v>302</v>
      </c>
      <c r="AC11" s="31"/>
      <c r="AD11" s="31"/>
      <c r="AE11" s="31"/>
      <c r="AF11" s="31"/>
      <c r="AG11" s="31"/>
      <c r="AH11" s="31"/>
      <c r="AI11" s="31"/>
      <c r="AJ11" s="31"/>
      <c r="AK11" s="31"/>
      <c r="AL11" s="31"/>
      <c r="AM11" s="31"/>
      <c r="AN11" s="31"/>
      <c r="AO11" s="31"/>
      <c r="AP11" s="31"/>
      <c r="AQ11" s="31"/>
      <c r="AR11" s="31"/>
      <c r="AS11" s="31"/>
      <c r="AT11" s="31"/>
      <c r="AU11" s="31"/>
    </row>
    <row r="12" spans="1:47" x14ac:dyDescent="0.25">
      <c r="A12" s="33" t="s">
        <v>189</v>
      </c>
      <c r="B12" s="34" t="s">
        <v>74</v>
      </c>
      <c r="C12" s="35"/>
      <c r="D12" s="34" t="s">
        <v>159</v>
      </c>
      <c r="E12" s="34" t="s">
        <v>116</v>
      </c>
      <c r="F12" s="35"/>
      <c r="G12" s="37">
        <f t="shared" si="0"/>
        <v>5</v>
      </c>
      <c r="H12" s="37" t="str">
        <f t="shared" si="2"/>
        <v>K8:K12</v>
      </c>
      <c r="I12" s="33" t="s">
        <v>141</v>
      </c>
      <c r="J12" s="42" t="s">
        <v>98</v>
      </c>
      <c r="K12" s="33" t="s">
        <v>28</v>
      </c>
      <c r="L12" s="42" t="s">
        <v>312</v>
      </c>
      <c r="M12" s="42" t="s">
        <v>310</v>
      </c>
      <c r="N12" s="43" t="str">
        <f t="shared" si="1"/>
        <v>calloutValue|labelPrecision</v>
      </c>
      <c r="O12" s="31" t="s">
        <v>302</v>
      </c>
      <c r="P12" s="31" t="s">
        <v>302</v>
      </c>
      <c r="Q12" s="31" t="s">
        <v>302</v>
      </c>
      <c r="R12" s="31" t="s">
        <v>302</v>
      </c>
      <c r="S12" s="31" t="s">
        <v>302</v>
      </c>
      <c r="T12" s="31" t="s">
        <v>302</v>
      </c>
      <c r="U12" s="31" t="s">
        <v>302</v>
      </c>
      <c r="V12" s="31" t="s">
        <v>302</v>
      </c>
      <c r="W12" s="31" t="s">
        <v>302</v>
      </c>
      <c r="X12" s="31" t="s">
        <v>302</v>
      </c>
      <c r="Y12" s="31" t="s">
        <v>302</v>
      </c>
      <c r="Z12" s="31" t="s">
        <v>302</v>
      </c>
      <c r="AA12" s="31" t="s">
        <v>302</v>
      </c>
      <c r="AB12" s="31" t="s">
        <v>302</v>
      </c>
      <c r="AC12" s="31"/>
      <c r="AD12" s="31"/>
      <c r="AE12" s="31"/>
      <c r="AF12" s="31"/>
      <c r="AG12" s="31"/>
      <c r="AH12" s="31"/>
      <c r="AI12" s="31"/>
      <c r="AJ12" s="31"/>
      <c r="AK12" s="31"/>
      <c r="AL12" s="31"/>
      <c r="AM12" s="31"/>
      <c r="AN12" s="31"/>
      <c r="AO12" s="31"/>
      <c r="AP12" s="31"/>
      <c r="AQ12" s="31"/>
      <c r="AR12" s="31"/>
      <c r="AS12" s="31"/>
      <c r="AT12" s="31"/>
      <c r="AU12" s="31"/>
    </row>
    <row r="13" spans="1:47" x14ac:dyDescent="0.25">
      <c r="A13" s="33" t="s">
        <v>505</v>
      </c>
      <c r="B13" s="34" t="s">
        <v>75</v>
      </c>
      <c r="C13" s="35"/>
      <c r="D13" s="34" t="s">
        <v>147</v>
      </c>
      <c r="E13" s="34" t="s">
        <v>111</v>
      </c>
      <c r="F13" s="35"/>
      <c r="G13" s="37">
        <f t="shared" si="0"/>
        <v>9</v>
      </c>
      <c r="H13" s="37" t="str">
        <f t="shared" si="2"/>
        <v>K13:K21</v>
      </c>
      <c r="I13" s="33" t="s">
        <v>142</v>
      </c>
      <c r="J13" s="42" t="s">
        <v>59</v>
      </c>
      <c r="K13" s="33" t="s">
        <v>35</v>
      </c>
      <c r="L13" s="42" t="s">
        <v>209</v>
      </c>
      <c r="M13" s="42" t="s">
        <v>104</v>
      </c>
      <c r="N13" s="43" t="str">
        <f t="shared" si="1"/>
        <v>card|cardBackground</v>
      </c>
      <c r="O13" s="31" t="s">
        <v>302</v>
      </c>
      <c r="P13" s="31" t="s">
        <v>302</v>
      </c>
      <c r="Q13" s="31" t="s">
        <v>302</v>
      </c>
      <c r="R13" s="31" t="s">
        <v>302</v>
      </c>
      <c r="S13" s="31" t="s">
        <v>302</v>
      </c>
      <c r="T13" s="31" t="s">
        <v>302</v>
      </c>
      <c r="U13" s="31" t="s">
        <v>302</v>
      </c>
      <c r="V13" s="31" t="s">
        <v>302</v>
      </c>
      <c r="W13" s="31" t="s">
        <v>302</v>
      </c>
      <c r="X13" s="31" t="s">
        <v>302</v>
      </c>
      <c r="Y13" s="31" t="s">
        <v>302</v>
      </c>
      <c r="Z13" s="31" t="s">
        <v>302</v>
      </c>
      <c r="AA13" s="31" t="s">
        <v>302</v>
      </c>
      <c r="AB13" s="31" t="s">
        <v>302</v>
      </c>
      <c r="AC13" s="31"/>
      <c r="AD13" s="31"/>
      <c r="AE13" s="31"/>
      <c r="AF13" s="31"/>
      <c r="AG13" s="31"/>
      <c r="AH13" s="31"/>
      <c r="AI13" s="31"/>
      <c r="AJ13" s="31"/>
      <c r="AK13" s="31"/>
      <c r="AL13" s="31"/>
      <c r="AM13" s="31"/>
      <c r="AN13" s="31"/>
      <c r="AO13" s="31"/>
      <c r="AP13" s="31"/>
      <c r="AQ13" s="31"/>
      <c r="AR13" s="31"/>
      <c r="AS13" s="31"/>
      <c r="AT13" s="31"/>
      <c r="AU13" s="31"/>
    </row>
    <row r="14" spans="1:47" x14ac:dyDescent="0.25">
      <c r="A14" s="33" t="s">
        <v>190</v>
      </c>
      <c r="B14" s="34" t="s">
        <v>76</v>
      </c>
      <c r="C14" s="35"/>
      <c r="D14" s="34" t="s">
        <v>147</v>
      </c>
      <c r="E14" s="34" t="s">
        <v>103</v>
      </c>
      <c r="F14" s="35"/>
      <c r="G14" s="37">
        <f t="shared" si="0"/>
        <v>9</v>
      </c>
      <c r="H14" s="37" t="str">
        <f t="shared" si="2"/>
        <v>K13:K21</v>
      </c>
      <c r="I14" s="33" t="s">
        <v>142</v>
      </c>
      <c r="J14" s="42" t="s">
        <v>59</v>
      </c>
      <c r="K14" s="33" t="s">
        <v>464</v>
      </c>
      <c r="L14" s="42" t="s">
        <v>362</v>
      </c>
      <c r="M14" s="42" t="s">
        <v>104</v>
      </c>
      <c r="N14" s="43" t="str">
        <f t="shared" si="1"/>
        <v>card|barColor</v>
      </c>
      <c r="O14" s="31" t="s">
        <v>302</v>
      </c>
      <c r="P14" s="31" t="s">
        <v>302</v>
      </c>
      <c r="Q14" s="31" t="s">
        <v>302</v>
      </c>
      <c r="R14" s="31" t="s">
        <v>302</v>
      </c>
      <c r="S14" s="31" t="s">
        <v>302</v>
      </c>
      <c r="T14" s="31" t="s">
        <v>302</v>
      </c>
      <c r="U14" s="31" t="s">
        <v>302</v>
      </c>
      <c r="V14" s="31" t="s">
        <v>302</v>
      </c>
      <c r="W14" s="31" t="s">
        <v>302</v>
      </c>
      <c r="X14" s="31" t="s">
        <v>302</v>
      </c>
      <c r="Y14" s="31" t="s">
        <v>302</v>
      </c>
      <c r="Z14" s="31" t="s">
        <v>302</v>
      </c>
      <c r="AA14" s="31" t="s">
        <v>302</v>
      </c>
      <c r="AB14" s="31" t="s">
        <v>302</v>
      </c>
      <c r="AC14" s="31"/>
      <c r="AD14" s="31"/>
      <c r="AE14" s="31"/>
      <c r="AF14" s="31"/>
      <c r="AG14" s="31"/>
      <c r="AH14" s="31"/>
      <c r="AI14" s="31"/>
      <c r="AJ14" s="31"/>
      <c r="AK14" s="31"/>
      <c r="AL14" s="31"/>
      <c r="AM14" s="31"/>
      <c r="AN14" s="31"/>
      <c r="AO14" s="31"/>
      <c r="AP14" s="31"/>
      <c r="AQ14" s="31"/>
      <c r="AR14" s="31"/>
      <c r="AS14" s="31"/>
      <c r="AT14" s="31"/>
      <c r="AU14" s="31"/>
    </row>
    <row r="15" spans="1:47" x14ac:dyDescent="0.25">
      <c r="A15" s="33" t="s">
        <v>190</v>
      </c>
      <c r="B15" s="34" t="s">
        <v>77</v>
      </c>
      <c r="C15" s="35"/>
      <c r="D15" s="34" t="s">
        <v>333</v>
      </c>
      <c r="E15" s="34" t="s">
        <v>333</v>
      </c>
      <c r="F15" s="35"/>
      <c r="G15" s="37">
        <f t="shared" si="0"/>
        <v>9</v>
      </c>
      <c r="H15" s="37" t="str">
        <f t="shared" si="2"/>
        <v>K13:K21</v>
      </c>
      <c r="I15" s="33" t="s">
        <v>142</v>
      </c>
      <c r="J15" s="42" t="s">
        <v>59</v>
      </c>
      <c r="K15" s="33" t="s">
        <v>465</v>
      </c>
      <c r="L15" s="42" t="s">
        <v>363</v>
      </c>
      <c r="M15" s="42" t="s">
        <v>310</v>
      </c>
      <c r="N15" s="43" t="str">
        <f t="shared" si="1"/>
        <v>card|barWeight</v>
      </c>
      <c r="O15" s="31" t="s">
        <v>302</v>
      </c>
      <c r="P15" s="31" t="s">
        <v>302</v>
      </c>
      <c r="Q15" s="31" t="s">
        <v>302</v>
      </c>
      <c r="R15" s="31" t="s">
        <v>302</v>
      </c>
      <c r="S15" s="31" t="s">
        <v>302</v>
      </c>
      <c r="T15" s="31" t="s">
        <v>302</v>
      </c>
      <c r="U15" s="31" t="s">
        <v>302</v>
      </c>
      <c r="V15" s="31" t="s">
        <v>302</v>
      </c>
      <c r="W15" s="31" t="s">
        <v>302</v>
      </c>
      <c r="X15" s="31" t="s">
        <v>302</v>
      </c>
      <c r="Y15" s="31" t="s">
        <v>302</v>
      </c>
      <c r="Z15" s="31" t="s">
        <v>302</v>
      </c>
      <c r="AA15" s="31" t="s">
        <v>302</v>
      </c>
      <c r="AB15" s="31" t="s">
        <v>302</v>
      </c>
      <c r="AC15" s="31"/>
      <c r="AD15" s="31"/>
      <c r="AE15" s="31"/>
      <c r="AF15" s="31"/>
      <c r="AG15" s="31"/>
      <c r="AH15" s="31"/>
      <c r="AI15" s="31"/>
      <c r="AJ15" s="31"/>
      <c r="AK15" s="31"/>
      <c r="AL15" s="31"/>
      <c r="AM15" s="31"/>
      <c r="AN15" s="31"/>
      <c r="AO15" s="31"/>
      <c r="AP15" s="31"/>
      <c r="AQ15" s="31"/>
      <c r="AR15" s="31"/>
      <c r="AS15" s="31"/>
      <c r="AT15" s="31"/>
      <c r="AU15" s="31"/>
    </row>
    <row r="16" spans="1:47" x14ac:dyDescent="0.25">
      <c r="A16" s="33" t="s">
        <v>387</v>
      </c>
      <c r="B16" s="34" t="s">
        <v>78</v>
      </c>
      <c r="C16" s="35"/>
      <c r="D16" s="34" t="s">
        <v>412</v>
      </c>
      <c r="E16" s="34" t="s">
        <v>412</v>
      </c>
      <c r="F16" s="35"/>
      <c r="G16" s="37">
        <f t="shared" si="0"/>
        <v>9</v>
      </c>
      <c r="H16" s="37" t="str">
        <f t="shared" si="2"/>
        <v>K13:K21</v>
      </c>
      <c r="I16" s="33" t="s">
        <v>142</v>
      </c>
      <c r="J16" s="42" t="s">
        <v>59</v>
      </c>
      <c r="K16" s="33" t="s">
        <v>17</v>
      </c>
      <c r="L16" s="42" t="s">
        <v>5</v>
      </c>
      <c r="M16" s="42" t="s">
        <v>307</v>
      </c>
      <c r="N16" s="43" t="str">
        <f t="shared" si="1"/>
        <v>card|fontFamily</v>
      </c>
      <c r="O16" s="31" t="s">
        <v>302</v>
      </c>
      <c r="P16" s="31" t="s">
        <v>302</v>
      </c>
      <c r="Q16" s="31" t="s">
        <v>302</v>
      </c>
      <c r="R16" s="31" t="s">
        <v>302</v>
      </c>
      <c r="S16" s="31" t="s">
        <v>302</v>
      </c>
      <c r="T16" s="31" t="s">
        <v>302</v>
      </c>
      <c r="U16" s="31" t="s">
        <v>302</v>
      </c>
      <c r="V16" s="31" t="s">
        <v>302</v>
      </c>
      <c r="W16" s="31" t="s">
        <v>302</v>
      </c>
      <c r="X16" s="31" t="s">
        <v>302</v>
      </c>
      <c r="Y16" s="31" t="s">
        <v>302</v>
      </c>
      <c r="Z16" s="31" t="s">
        <v>302</v>
      </c>
      <c r="AA16" s="31" t="s">
        <v>302</v>
      </c>
      <c r="AB16" s="31" t="s">
        <v>302</v>
      </c>
      <c r="AC16" s="31"/>
      <c r="AD16" s="31"/>
      <c r="AE16" s="31"/>
      <c r="AF16" s="31"/>
      <c r="AG16" s="31"/>
      <c r="AH16" s="31"/>
      <c r="AI16" s="31"/>
      <c r="AJ16" s="31"/>
      <c r="AK16" s="31"/>
      <c r="AL16" s="31"/>
      <c r="AM16" s="31"/>
      <c r="AN16" s="31"/>
      <c r="AO16" s="31"/>
      <c r="AP16" s="31"/>
      <c r="AQ16" s="31"/>
      <c r="AR16" s="31"/>
      <c r="AS16" s="31"/>
      <c r="AT16" s="31"/>
      <c r="AU16" s="31"/>
    </row>
    <row r="17" spans="1:47" x14ac:dyDescent="0.25">
      <c r="A17" s="33" t="s">
        <v>191</v>
      </c>
      <c r="B17" s="34" t="s">
        <v>79</v>
      </c>
      <c r="C17" s="35"/>
      <c r="D17" s="34" t="s">
        <v>145</v>
      </c>
      <c r="E17" s="34" t="s">
        <v>101</v>
      </c>
      <c r="F17" s="35"/>
      <c r="G17" s="37">
        <f t="shared" si="0"/>
        <v>9</v>
      </c>
      <c r="H17" s="37" t="str">
        <f t="shared" si="2"/>
        <v>K13:K21</v>
      </c>
      <c r="I17" s="33" t="s">
        <v>142</v>
      </c>
      <c r="J17" s="42" t="s">
        <v>59</v>
      </c>
      <c r="K17" s="33" t="s">
        <v>358</v>
      </c>
      <c r="L17" s="42" t="s">
        <v>236</v>
      </c>
      <c r="M17" s="42" t="s">
        <v>305</v>
      </c>
      <c r="N17" s="43" t="str">
        <f t="shared" si="1"/>
        <v>card|outline</v>
      </c>
      <c r="O17" s="31" t="s">
        <v>51</v>
      </c>
      <c r="P17" s="31" t="s">
        <v>283</v>
      </c>
      <c r="Q17" s="31" t="s">
        <v>284</v>
      </c>
      <c r="R17" s="31" t="s">
        <v>285</v>
      </c>
      <c r="S17" s="31" t="s">
        <v>286</v>
      </c>
      <c r="T17" s="31" t="s">
        <v>287</v>
      </c>
      <c r="U17" s="31" t="s">
        <v>288</v>
      </c>
      <c r="V17" s="31" t="s">
        <v>238</v>
      </c>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row>
    <row r="18" spans="1:47" x14ac:dyDescent="0.25">
      <c r="A18" s="33" t="s">
        <v>192</v>
      </c>
      <c r="B18" s="34" t="s">
        <v>80</v>
      </c>
      <c r="C18" s="35"/>
      <c r="D18" s="34" t="s">
        <v>148</v>
      </c>
      <c r="E18" s="34" t="s">
        <v>104</v>
      </c>
      <c r="F18" s="35"/>
      <c r="G18" s="37">
        <f t="shared" si="0"/>
        <v>9</v>
      </c>
      <c r="H18" s="37" t="str">
        <f t="shared" si="2"/>
        <v>K13:K21</v>
      </c>
      <c r="I18" s="33" t="s">
        <v>142</v>
      </c>
      <c r="J18" s="42" t="s">
        <v>59</v>
      </c>
      <c r="K18" s="33" t="s">
        <v>461</v>
      </c>
      <c r="L18" s="42" t="s">
        <v>359</v>
      </c>
      <c r="M18" s="42" t="s">
        <v>104</v>
      </c>
      <c r="N18" s="43" t="str">
        <f t="shared" si="1"/>
        <v>card|outlineColor</v>
      </c>
      <c r="O18" s="31" t="s">
        <v>302</v>
      </c>
      <c r="P18" s="31" t="s">
        <v>302</v>
      </c>
      <c r="Q18" s="31" t="s">
        <v>302</v>
      </c>
      <c r="R18" s="31" t="s">
        <v>302</v>
      </c>
      <c r="S18" s="31" t="s">
        <v>302</v>
      </c>
      <c r="T18" s="31" t="s">
        <v>302</v>
      </c>
      <c r="U18" s="31" t="s">
        <v>302</v>
      </c>
      <c r="V18" s="31" t="s">
        <v>302</v>
      </c>
      <c r="W18" s="31" t="s">
        <v>302</v>
      </c>
      <c r="X18" s="31" t="s">
        <v>302</v>
      </c>
      <c r="Y18" s="31" t="s">
        <v>302</v>
      </c>
      <c r="Z18" s="31" t="s">
        <v>302</v>
      </c>
      <c r="AA18" s="31" t="s">
        <v>302</v>
      </c>
      <c r="AB18" s="31" t="s">
        <v>302</v>
      </c>
      <c r="AC18" s="31"/>
      <c r="AD18" s="31"/>
      <c r="AE18" s="31"/>
      <c r="AF18" s="31"/>
      <c r="AG18" s="31"/>
      <c r="AH18" s="31"/>
      <c r="AI18" s="31"/>
      <c r="AJ18" s="31"/>
      <c r="AK18" s="31"/>
      <c r="AL18" s="31"/>
      <c r="AM18" s="31"/>
      <c r="AN18" s="31"/>
      <c r="AO18" s="31"/>
      <c r="AP18" s="31"/>
      <c r="AQ18" s="31"/>
      <c r="AR18" s="31"/>
      <c r="AS18" s="31"/>
      <c r="AT18" s="31"/>
      <c r="AU18" s="31"/>
    </row>
    <row r="19" spans="1:47" x14ac:dyDescent="0.25">
      <c r="A19" s="33" t="s">
        <v>192</v>
      </c>
      <c r="B19" s="34" t="s">
        <v>81</v>
      </c>
      <c r="C19" s="35"/>
      <c r="D19" s="34" t="s">
        <v>149</v>
      </c>
      <c r="E19" s="34" t="s">
        <v>105</v>
      </c>
      <c r="F19" s="35"/>
      <c r="G19" s="37">
        <f t="shared" si="0"/>
        <v>9</v>
      </c>
      <c r="H19" s="37" t="str">
        <f t="shared" si="2"/>
        <v>K13:K21</v>
      </c>
      <c r="I19" s="33" t="s">
        <v>142</v>
      </c>
      <c r="J19" s="42" t="s">
        <v>59</v>
      </c>
      <c r="K19" s="33" t="s">
        <v>462</v>
      </c>
      <c r="L19" s="42" t="s">
        <v>360</v>
      </c>
      <c r="M19" s="42" t="s">
        <v>310</v>
      </c>
      <c r="N19" s="43" t="str">
        <f t="shared" si="1"/>
        <v>card|outlineWeight</v>
      </c>
      <c r="O19" s="31" t="s">
        <v>302</v>
      </c>
      <c r="P19" s="31" t="s">
        <v>302</v>
      </c>
      <c r="Q19" s="31" t="s">
        <v>302</v>
      </c>
      <c r="R19" s="31" t="s">
        <v>302</v>
      </c>
      <c r="S19" s="31" t="s">
        <v>302</v>
      </c>
      <c r="T19" s="31" t="s">
        <v>302</v>
      </c>
      <c r="U19" s="31" t="s">
        <v>302</v>
      </c>
      <c r="V19" s="31" t="s">
        <v>302</v>
      </c>
      <c r="W19" s="31" t="s">
        <v>302</v>
      </c>
      <c r="X19" s="31" t="s">
        <v>302</v>
      </c>
      <c r="Y19" s="31" t="s">
        <v>302</v>
      </c>
      <c r="Z19" s="31" t="s">
        <v>302</v>
      </c>
      <c r="AA19" s="31" t="s">
        <v>302</v>
      </c>
      <c r="AB19" s="31" t="s">
        <v>302</v>
      </c>
      <c r="AC19" s="31"/>
      <c r="AD19" s="31"/>
      <c r="AE19" s="31"/>
      <c r="AF19" s="31"/>
      <c r="AG19" s="31"/>
      <c r="AH19" s="31"/>
      <c r="AI19" s="31"/>
      <c r="AJ19" s="31"/>
      <c r="AK19" s="31"/>
      <c r="AL19" s="31"/>
      <c r="AM19" s="31"/>
      <c r="AN19" s="31"/>
      <c r="AO19" s="31"/>
      <c r="AP19" s="31"/>
      <c r="AQ19" s="31"/>
      <c r="AR19" s="31"/>
      <c r="AS19" s="31"/>
      <c r="AT19" s="31"/>
      <c r="AU19" s="31"/>
    </row>
    <row r="20" spans="1:47" x14ac:dyDescent="0.25">
      <c r="A20" s="33" t="s">
        <v>192</v>
      </c>
      <c r="B20" s="34" t="s">
        <v>82</v>
      </c>
      <c r="C20" s="35"/>
      <c r="D20" s="34" t="s">
        <v>150</v>
      </c>
      <c r="E20" s="34" t="s">
        <v>106</v>
      </c>
      <c r="F20" s="35"/>
      <c r="G20" s="37">
        <f t="shared" si="0"/>
        <v>9</v>
      </c>
      <c r="H20" s="37" t="str">
        <f t="shared" si="2"/>
        <v>K13:K21</v>
      </c>
      <c r="I20" s="33" t="s">
        <v>142</v>
      </c>
      <c r="J20" s="42" t="s">
        <v>59</v>
      </c>
      <c r="K20" s="33" t="s">
        <v>365</v>
      </c>
      <c r="L20" s="42" t="s">
        <v>364</v>
      </c>
      <c r="M20" s="42" t="s">
        <v>310</v>
      </c>
      <c r="N20" s="43" t="str">
        <f t="shared" si="1"/>
        <v>card|cardPadding</v>
      </c>
      <c r="O20" s="31" t="s">
        <v>302</v>
      </c>
      <c r="P20" s="31" t="s">
        <v>302</v>
      </c>
      <c r="Q20" s="31" t="s">
        <v>302</v>
      </c>
      <c r="R20" s="31" t="s">
        <v>302</v>
      </c>
      <c r="S20" s="31" t="s">
        <v>302</v>
      </c>
      <c r="T20" s="31" t="s">
        <v>302</v>
      </c>
      <c r="U20" s="31" t="s">
        <v>302</v>
      </c>
      <c r="V20" s="31" t="s">
        <v>302</v>
      </c>
      <c r="W20" s="31" t="s">
        <v>302</v>
      </c>
      <c r="X20" s="31" t="s">
        <v>302</v>
      </c>
      <c r="Y20" s="31" t="s">
        <v>302</v>
      </c>
      <c r="Z20" s="31" t="s">
        <v>302</v>
      </c>
      <c r="AA20" s="31" t="s">
        <v>302</v>
      </c>
      <c r="AB20" s="31" t="s">
        <v>302</v>
      </c>
      <c r="AC20" s="31"/>
      <c r="AD20" s="31"/>
      <c r="AE20" s="31"/>
      <c r="AF20" s="31"/>
      <c r="AG20" s="31"/>
      <c r="AH20" s="31"/>
      <c r="AI20" s="31"/>
      <c r="AJ20" s="31"/>
      <c r="AK20" s="31"/>
      <c r="AL20" s="31"/>
      <c r="AM20" s="31"/>
      <c r="AN20" s="31"/>
      <c r="AO20" s="31"/>
      <c r="AP20" s="31"/>
      <c r="AQ20" s="31"/>
      <c r="AR20" s="31"/>
      <c r="AS20" s="31"/>
      <c r="AT20" s="31"/>
      <c r="AU20" s="31"/>
    </row>
    <row r="21" spans="1:47" x14ac:dyDescent="0.25">
      <c r="A21" s="33" t="s">
        <v>193</v>
      </c>
      <c r="B21" s="34" t="s">
        <v>83</v>
      </c>
      <c r="C21" s="35"/>
      <c r="D21" s="34" t="s">
        <v>138</v>
      </c>
      <c r="E21" s="34" t="s">
        <v>95</v>
      </c>
      <c r="F21" s="35"/>
      <c r="G21" s="37">
        <f t="shared" si="0"/>
        <v>9</v>
      </c>
      <c r="H21" s="37" t="str">
        <f t="shared" si="2"/>
        <v>K13:K21</v>
      </c>
      <c r="I21" s="33" t="s">
        <v>142</v>
      </c>
      <c r="J21" s="42" t="s">
        <v>59</v>
      </c>
      <c r="K21" s="33" t="s">
        <v>463</v>
      </c>
      <c r="L21" s="42" t="s">
        <v>361</v>
      </c>
      <c r="M21" s="42" t="s">
        <v>304</v>
      </c>
      <c r="N21" s="43" t="str">
        <f t="shared" si="1"/>
        <v>card|barShow</v>
      </c>
      <c r="O21" s="31" t="s">
        <v>302</v>
      </c>
      <c r="P21" s="31" t="s">
        <v>302</v>
      </c>
      <c r="Q21" s="31" t="s">
        <v>302</v>
      </c>
      <c r="R21" s="31" t="s">
        <v>302</v>
      </c>
      <c r="S21" s="31" t="s">
        <v>302</v>
      </c>
      <c r="T21" s="31" t="s">
        <v>302</v>
      </c>
      <c r="U21" s="31" t="s">
        <v>302</v>
      </c>
      <c r="V21" s="31" t="s">
        <v>302</v>
      </c>
      <c r="W21" s="31" t="s">
        <v>302</v>
      </c>
      <c r="X21" s="31" t="s">
        <v>302</v>
      </c>
      <c r="Y21" s="31" t="s">
        <v>302</v>
      </c>
      <c r="Z21" s="31" t="s">
        <v>302</v>
      </c>
      <c r="AA21" s="31" t="s">
        <v>302</v>
      </c>
      <c r="AB21" s="31" t="s">
        <v>302</v>
      </c>
      <c r="AC21" s="31"/>
      <c r="AD21" s="31"/>
      <c r="AE21" s="31"/>
      <c r="AF21" s="31"/>
      <c r="AG21" s="31"/>
      <c r="AH21" s="31"/>
      <c r="AI21" s="31"/>
      <c r="AJ21" s="31"/>
      <c r="AK21" s="31"/>
      <c r="AL21" s="31"/>
      <c r="AM21" s="31"/>
      <c r="AN21" s="31"/>
      <c r="AO21" s="31"/>
      <c r="AP21" s="31"/>
      <c r="AQ21" s="31"/>
      <c r="AR21" s="31"/>
      <c r="AS21" s="31"/>
      <c r="AT21" s="31"/>
      <c r="AU21" s="31"/>
    </row>
    <row r="22" spans="1:47" x14ac:dyDescent="0.25">
      <c r="A22" s="33" t="s">
        <v>194</v>
      </c>
      <c r="B22" s="34" t="s">
        <v>84</v>
      </c>
      <c r="C22" s="35"/>
      <c r="D22" s="34" t="s">
        <v>11</v>
      </c>
      <c r="E22" s="34" t="s">
        <v>56</v>
      </c>
      <c r="F22" s="35"/>
      <c r="G22" s="37">
        <f t="shared" si="0"/>
        <v>3</v>
      </c>
      <c r="H22" s="37" t="str">
        <f t="shared" si="2"/>
        <v>K22:K24</v>
      </c>
      <c r="I22" s="33" t="s">
        <v>143</v>
      </c>
      <c r="J22" s="42" t="s">
        <v>99</v>
      </c>
      <c r="K22" s="33" t="s">
        <v>15</v>
      </c>
      <c r="L22" s="42" t="s">
        <v>315</v>
      </c>
      <c r="M22" s="42" t="s">
        <v>104</v>
      </c>
      <c r="N22" s="43" t="str">
        <f t="shared" si="1"/>
        <v>cardTitle|color</v>
      </c>
      <c r="O22" s="31" t="s">
        <v>302</v>
      </c>
      <c r="P22" s="31" t="s">
        <v>302</v>
      </c>
      <c r="Q22" s="31" t="s">
        <v>302</v>
      </c>
      <c r="R22" s="31" t="s">
        <v>302</v>
      </c>
      <c r="S22" s="31" t="s">
        <v>302</v>
      </c>
      <c r="T22" s="31" t="s">
        <v>302</v>
      </c>
      <c r="U22" s="31" t="s">
        <v>302</v>
      </c>
      <c r="V22" s="31" t="s">
        <v>302</v>
      </c>
      <c r="W22" s="31" t="s">
        <v>302</v>
      </c>
      <c r="X22" s="31" t="s">
        <v>302</v>
      </c>
      <c r="Y22" s="31" t="s">
        <v>302</v>
      </c>
      <c r="Z22" s="31" t="s">
        <v>302</v>
      </c>
      <c r="AA22" s="31" t="s">
        <v>302</v>
      </c>
      <c r="AB22" s="31" t="s">
        <v>302</v>
      </c>
      <c r="AC22" s="31"/>
      <c r="AD22" s="31"/>
      <c r="AE22" s="31"/>
      <c r="AF22" s="31"/>
      <c r="AG22" s="31"/>
      <c r="AH22" s="31"/>
      <c r="AI22" s="31"/>
      <c r="AJ22" s="31"/>
      <c r="AK22" s="31"/>
      <c r="AL22" s="31"/>
      <c r="AM22" s="31"/>
      <c r="AN22" s="31"/>
      <c r="AO22" s="31"/>
      <c r="AP22" s="31"/>
      <c r="AQ22" s="31"/>
      <c r="AR22" s="31"/>
      <c r="AS22" s="31"/>
      <c r="AT22" s="31"/>
      <c r="AU22" s="31"/>
    </row>
    <row r="23" spans="1:47" x14ac:dyDescent="0.25">
      <c r="A23" s="33" t="s">
        <v>195</v>
      </c>
      <c r="B23" s="34" t="s">
        <v>85</v>
      </c>
      <c r="C23" s="35"/>
      <c r="D23" s="34" t="s">
        <v>151</v>
      </c>
      <c r="E23" s="34" t="s">
        <v>107</v>
      </c>
      <c r="F23" s="35"/>
      <c r="G23" s="37">
        <f t="shared" si="0"/>
        <v>3</v>
      </c>
      <c r="H23" s="37" t="str">
        <f t="shared" si="2"/>
        <v>K22:K24</v>
      </c>
      <c r="I23" s="33" t="s">
        <v>143</v>
      </c>
      <c r="J23" s="42" t="s">
        <v>99</v>
      </c>
      <c r="K23" s="33" t="s">
        <v>17</v>
      </c>
      <c r="L23" s="42" t="s">
        <v>5</v>
      </c>
      <c r="M23" s="42" t="s">
        <v>307</v>
      </c>
      <c r="N23" s="43" t="str">
        <f t="shared" si="1"/>
        <v>cardTitle|fontFamily</v>
      </c>
      <c r="O23" s="31" t="s">
        <v>302</v>
      </c>
      <c r="P23" s="31" t="s">
        <v>302</v>
      </c>
      <c r="Q23" s="31" t="s">
        <v>302</v>
      </c>
      <c r="R23" s="31" t="s">
        <v>302</v>
      </c>
      <c r="S23" s="31" t="s">
        <v>302</v>
      </c>
      <c r="T23" s="31" t="s">
        <v>302</v>
      </c>
      <c r="U23" s="31" t="s">
        <v>302</v>
      </c>
      <c r="V23" s="31" t="s">
        <v>302</v>
      </c>
      <c r="W23" s="31" t="s">
        <v>302</v>
      </c>
      <c r="X23" s="31" t="s">
        <v>302</v>
      </c>
      <c r="Y23" s="31" t="s">
        <v>302</v>
      </c>
      <c r="Z23" s="31" t="s">
        <v>302</v>
      </c>
      <c r="AA23" s="31" t="s">
        <v>302</v>
      </c>
      <c r="AB23" s="31" t="s">
        <v>302</v>
      </c>
      <c r="AC23" s="31"/>
      <c r="AD23" s="31"/>
      <c r="AE23" s="31"/>
      <c r="AF23" s="31"/>
      <c r="AG23" s="31"/>
      <c r="AH23" s="31"/>
      <c r="AI23" s="31"/>
      <c r="AJ23" s="31"/>
      <c r="AK23" s="31"/>
      <c r="AL23" s="31"/>
      <c r="AM23" s="31"/>
      <c r="AN23" s="31"/>
      <c r="AO23" s="31"/>
      <c r="AP23" s="31"/>
      <c r="AQ23" s="31"/>
      <c r="AR23" s="31"/>
      <c r="AS23" s="31"/>
      <c r="AT23" s="31"/>
      <c r="AU23" s="31"/>
    </row>
    <row r="24" spans="1:47" x14ac:dyDescent="0.25">
      <c r="A24" s="33" t="s">
        <v>196</v>
      </c>
      <c r="B24" s="34" t="s">
        <v>86</v>
      </c>
      <c r="C24" s="35"/>
      <c r="D24" s="34" t="s">
        <v>172</v>
      </c>
      <c r="E24" s="34" t="s">
        <v>130</v>
      </c>
      <c r="F24" s="35"/>
      <c r="G24" s="37">
        <f t="shared" si="0"/>
        <v>3</v>
      </c>
      <c r="H24" s="37" t="str">
        <f t="shared" si="2"/>
        <v>K22:K24</v>
      </c>
      <c r="I24" s="33" t="s">
        <v>143</v>
      </c>
      <c r="J24" s="42" t="s">
        <v>99</v>
      </c>
      <c r="K24" s="33" t="s">
        <v>16</v>
      </c>
      <c r="L24" s="42" t="s">
        <v>4</v>
      </c>
      <c r="M24" s="42" t="s">
        <v>307</v>
      </c>
      <c r="N24" s="43" t="str">
        <f t="shared" si="1"/>
        <v>cardTitle|fontSize</v>
      </c>
      <c r="O24" s="31" t="s">
        <v>302</v>
      </c>
      <c r="P24" s="31" t="s">
        <v>302</v>
      </c>
      <c r="Q24" s="31" t="s">
        <v>302</v>
      </c>
      <c r="R24" s="31" t="s">
        <v>302</v>
      </c>
      <c r="S24" s="31" t="s">
        <v>302</v>
      </c>
      <c r="T24" s="31" t="s">
        <v>302</v>
      </c>
      <c r="U24" s="31" t="s">
        <v>302</v>
      </c>
      <c r="V24" s="31" t="s">
        <v>302</v>
      </c>
      <c r="W24" s="31" t="s">
        <v>302</v>
      </c>
      <c r="X24" s="31" t="s">
        <v>302</v>
      </c>
      <c r="Y24" s="31" t="s">
        <v>302</v>
      </c>
      <c r="Z24" s="31" t="s">
        <v>302</v>
      </c>
      <c r="AA24" s="31" t="s">
        <v>302</v>
      </c>
      <c r="AB24" s="31" t="s">
        <v>302</v>
      </c>
      <c r="AC24" s="31"/>
      <c r="AD24" s="31"/>
      <c r="AE24" s="31"/>
      <c r="AF24" s="31"/>
      <c r="AG24" s="31"/>
      <c r="AH24" s="31"/>
      <c r="AI24" s="31"/>
      <c r="AJ24" s="31"/>
      <c r="AK24" s="31"/>
      <c r="AL24" s="31"/>
      <c r="AM24" s="31"/>
      <c r="AN24" s="31"/>
      <c r="AO24" s="31"/>
      <c r="AP24" s="31"/>
      <c r="AQ24" s="31"/>
      <c r="AR24" s="31"/>
      <c r="AS24" s="31"/>
      <c r="AT24" s="31"/>
      <c r="AU24" s="31"/>
    </row>
    <row r="25" spans="1:47" x14ac:dyDescent="0.25">
      <c r="A25" s="33" t="s">
        <v>197</v>
      </c>
      <c r="B25" s="34" t="s">
        <v>87</v>
      </c>
      <c r="C25" s="35"/>
      <c r="D25" s="34" t="s">
        <v>152</v>
      </c>
      <c r="E25" s="34" t="s">
        <v>108</v>
      </c>
      <c r="F25" s="35"/>
      <c r="G25" s="37">
        <f t="shared" si="0"/>
        <v>5</v>
      </c>
      <c r="H25" s="37" t="str">
        <f t="shared" si="2"/>
        <v>K25:K29</v>
      </c>
      <c r="I25" s="33" t="s">
        <v>144</v>
      </c>
      <c r="J25" s="42" t="s">
        <v>100</v>
      </c>
      <c r="K25" s="33" t="s">
        <v>15</v>
      </c>
      <c r="L25" s="42" t="s">
        <v>315</v>
      </c>
      <c r="M25" s="42" t="s">
        <v>104</v>
      </c>
      <c r="N25" s="43" t="str">
        <f t="shared" si="1"/>
        <v>categoryLabels|color</v>
      </c>
      <c r="O25" s="31" t="s">
        <v>302</v>
      </c>
      <c r="P25" s="31" t="s">
        <v>302</v>
      </c>
      <c r="Q25" s="31" t="s">
        <v>302</v>
      </c>
      <c r="R25" s="31" t="s">
        <v>302</v>
      </c>
      <c r="S25" s="31" t="s">
        <v>302</v>
      </c>
      <c r="T25" s="31" t="s">
        <v>302</v>
      </c>
      <c r="U25" s="31" t="s">
        <v>302</v>
      </c>
      <c r="V25" s="31" t="s">
        <v>302</v>
      </c>
      <c r="W25" s="31" t="s">
        <v>302</v>
      </c>
      <c r="X25" s="31" t="s">
        <v>302</v>
      </c>
      <c r="Y25" s="31" t="s">
        <v>302</v>
      </c>
      <c r="Z25" s="31" t="s">
        <v>302</v>
      </c>
      <c r="AA25" s="31" t="s">
        <v>302</v>
      </c>
      <c r="AB25" s="31" t="s">
        <v>302</v>
      </c>
      <c r="AC25" s="31"/>
      <c r="AD25" s="31"/>
      <c r="AE25" s="31"/>
      <c r="AF25" s="31"/>
      <c r="AG25" s="31"/>
      <c r="AH25" s="31"/>
      <c r="AI25" s="31"/>
      <c r="AJ25" s="31"/>
      <c r="AK25" s="31"/>
      <c r="AL25" s="31"/>
      <c r="AM25" s="31"/>
      <c r="AN25" s="31"/>
      <c r="AO25" s="31"/>
      <c r="AP25" s="31"/>
      <c r="AQ25" s="31"/>
      <c r="AR25" s="31"/>
      <c r="AS25" s="31"/>
      <c r="AT25" s="31"/>
      <c r="AU25" s="31"/>
    </row>
    <row r="26" spans="1:47" x14ac:dyDescent="0.25">
      <c r="A26" s="33" t="s">
        <v>198</v>
      </c>
      <c r="B26" s="34" t="s">
        <v>88</v>
      </c>
      <c r="C26" s="35"/>
      <c r="D26" s="34" t="s">
        <v>7</v>
      </c>
      <c r="E26" s="34" t="s">
        <v>8</v>
      </c>
      <c r="F26" s="35"/>
      <c r="G26" s="37">
        <f t="shared" si="0"/>
        <v>5</v>
      </c>
      <c r="H26" s="37" t="str">
        <f t="shared" si="2"/>
        <v>K25:K29</v>
      </c>
      <c r="I26" s="33" t="s">
        <v>144</v>
      </c>
      <c r="J26" s="42" t="s">
        <v>100</v>
      </c>
      <c r="K26" s="33" t="s">
        <v>17</v>
      </c>
      <c r="L26" s="42" t="s">
        <v>5</v>
      </c>
      <c r="M26" s="42" t="s">
        <v>307</v>
      </c>
      <c r="N26" s="43" t="str">
        <f t="shared" si="1"/>
        <v>categoryLabels|fontFamily</v>
      </c>
      <c r="O26" s="31" t="s">
        <v>302</v>
      </c>
      <c r="P26" s="31" t="s">
        <v>302</v>
      </c>
      <c r="Q26" s="31" t="s">
        <v>302</v>
      </c>
      <c r="R26" s="31" t="s">
        <v>302</v>
      </c>
      <c r="S26" s="31" t="s">
        <v>302</v>
      </c>
      <c r="T26" s="31" t="s">
        <v>302</v>
      </c>
      <c r="U26" s="31" t="s">
        <v>302</v>
      </c>
      <c r="V26" s="31" t="s">
        <v>302</v>
      </c>
      <c r="W26" s="31" t="s">
        <v>302</v>
      </c>
      <c r="X26" s="31" t="s">
        <v>302</v>
      </c>
      <c r="Y26" s="31" t="s">
        <v>302</v>
      </c>
      <c r="Z26" s="31" t="s">
        <v>302</v>
      </c>
      <c r="AA26" s="31" t="s">
        <v>302</v>
      </c>
      <c r="AB26" s="31" t="s">
        <v>302</v>
      </c>
      <c r="AC26" s="31"/>
      <c r="AD26" s="31"/>
      <c r="AE26" s="31"/>
      <c r="AF26" s="31"/>
      <c r="AG26" s="31"/>
      <c r="AH26" s="31"/>
      <c r="AI26" s="31"/>
      <c r="AJ26" s="31"/>
      <c r="AK26" s="31"/>
      <c r="AL26" s="31"/>
      <c r="AM26" s="31"/>
      <c r="AN26" s="31"/>
      <c r="AO26" s="31"/>
      <c r="AP26" s="31"/>
      <c r="AQ26" s="31"/>
      <c r="AR26" s="31"/>
      <c r="AS26" s="31"/>
      <c r="AT26" s="31"/>
      <c r="AU26" s="31"/>
    </row>
    <row r="27" spans="1:47" x14ac:dyDescent="0.25">
      <c r="A27" s="33" t="s">
        <v>199</v>
      </c>
      <c r="B27" s="34" t="s">
        <v>89</v>
      </c>
      <c r="C27" s="35"/>
      <c r="D27" s="34" t="s">
        <v>153</v>
      </c>
      <c r="E27" s="34" t="s">
        <v>109</v>
      </c>
      <c r="F27" s="35"/>
      <c r="G27" s="37">
        <f t="shared" si="0"/>
        <v>5</v>
      </c>
      <c r="H27" s="37" t="str">
        <f t="shared" si="2"/>
        <v>K25:K29</v>
      </c>
      <c r="I27" s="33" t="s">
        <v>144</v>
      </c>
      <c r="J27" s="42" t="s">
        <v>100</v>
      </c>
      <c r="K27" s="33" t="s">
        <v>163</v>
      </c>
      <c r="L27" s="42" t="s">
        <v>357</v>
      </c>
      <c r="M27" s="42" t="s">
        <v>310</v>
      </c>
      <c r="N27" s="43" t="str">
        <f t="shared" si="1"/>
        <v>categoryLabels|angle</v>
      </c>
      <c r="O27" s="31" t="s">
        <v>302</v>
      </c>
      <c r="P27" s="31" t="s">
        <v>302</v>
      </c>
      <c r="Q27" s="31" t="s">
        <v>302</v>
      </c>
      <c r="R27" s="31" t="s">
        <v>302</v>
      </c>
      <c r="S27" s="31" t="s">
        <v>302</v>
      </c>
      <c r="T27" s="31" t="s">
        <v>302</v>
      </c>
      <c r="U27" s="31" t="s">
        <v>302</v>
      </c>
      <c r="V27" s="31" t="s">
        <v>302</v>
      </c>
      <c r="W27" s="31" t="s">
        <v>302</v>
      </c>
      <c r="X27" s="31" t="s">
        <v>302</v>
      </c>
      <c r="Y27" s="31" t="s">
        <v>302</v>
      </c>
      <c r="Z27" s="31" t="s">
        <v>302</v>
      </c>
      <c r="AA27" s="31" t="s">
        <v>302</v>
      </c>
      <c r="AB27" s="31" t="s">
        <v>302</v>
      </c>
      <c r="AC27" s="31"/>
      <c r="AD27" s="31"/>
      <c r="AE27" s="31"/>
      <c r="AF27" s="31"/>
      <c r="AG27" s="31"/>
      <c r="AH27" s="31"/>
      <c r="AI27" s="31"/>
      <c r="AJ27" s="31"/>
      <c r="AK27" s="31"/>
      <c r="AL27" s="31"/>
      <c r="AM27" s="31"/>
      <c r="AN27" s="31"/>
      <c r="AO27" s="31"/>
      <c r="AP27" s="31"/>
      <c r="AQ27" s="31"/>
      <c r="AR27" s="31"/>
      <c r="AS27" s="31"/>
      <c r="AT27" s="31"/>
      <c r="AU27" s="31"/>
    </row>
    <row r="28" spans="1:47" x14ac:dyDescent="0.25">
      <c r="A28" s="33" t="s">
        <v>506</v>
      </c>
      <c r="B28" s="34" t="s">
        <v>6</v>
      </c>
      <c r="C28" s="35"/>
      <c r="D28" s="34" t="s">
        <v>154</v>
      </c>
      <c r="E28" s="34" t="s">
        <v>110</v>
      </c>
      <c r="F28" s="35"/>
      <c r="G28" s="37">
        <f t="shared" si="0"/>
        <v>5</v>
      </c>
      <c r="H28" s="37" t="str">
        <f t="shared" si="2"/>
        <v>K25:K29</v>
      </c>
      <c r="I28" s="33" t="s">
        <v>144</v>
      </c>
      <c r="J28" s="42" t="s">
        <v>100</v>
      </c>
      <c r="K28" s="33" t="s">
        <v>213</v>
      </c>
      <c r="L28" s="42" t="s">
        <v>54</v>
      </c>
      <c r="M28" s="42" t="s">
        <v>304</v>
      </c>
      <c r="N28" s="43" t="str">
        <f t="shared" si="1"/>
        <v>categoryLabels|show</v>
      </c>
      <c r="O28" s="31" t="s">
        <v>302</v>
      </c>
      <c r="P28" s="31" t="s">
        <v>302</v>
      </c>
      <c r="Q28" s="31" t="s">
        <v>302</v>
      </c>
      <c r="R28" s="31" t="s">
        <v>302</v>
      </c>
      <c r="S28" s="31" t="s">
        <v>302</v>
      </c>
      <c r="T28" s="31" t="s">
        <v>302</v>
      </c>
      <c r="U28" s="31" t="s">
        <v>302</v>
      </c>
      <c r="V28" s="31" t="s">
        <v>302</v>
      </c>
      <c r="W28" s="31" t="s">
        <v>302</v>
      </c>
      <c r="X28" s="31" t="s">
        <v>302</v>
      </c>
      <c r="Y28" s="31" t="s">
        <v>302</v>
      </c>
      <c r="Z28" s="31" t="s">
        <v>302</v>
      </c>
      <c r="AA28" s="31" t="s">
        <v>302</v>
      </c>
      <c r="AB28" s="31" t="s">
        <v>302</v>
      </c>
      <c r="AC28" s="31"/>
      <c r="AD28" s="31"/>
      <c r="AE28" s="31"/>
      <c r="AF28" s="31"/>
      <c r="AG28" s="31"/>
      <c r="AH28" s="31"/>
      <c r="AI28" s="31"/>
      <c r="AJ28" s="31"/>
      <c r="AK28" s="31"/>
      <c r="AL28" s="31"/>
      <c r="AM28" s="31"/>
      <c r="AN28" s="31"/>
      <c r="AO28" s="31"/>
      <c r="AP28" s="31"/>
      <c r="AQ28" s="31"/>
      <c r="AR28" s="31"/>
      <c r="AS28" s="31"/>
      <c r="AT28" s="31"/>
      <c r="AU28" s="31"/>
    </row>
    <row r="29" spans="1:47" x14ac:dyDescent="0.25">
      <c r="A29" s="33" t="s">
        <v>200</v>
      </c>
      <c r="B29" s="34" t="s">
        <v>90</v>
      </c>
      <c r="C29" s="35"/>
      <c r="D29" s="34" t="s">
        <v>12</v>
      </c>
      <c r="E29" s="34" t="s">
        <v>53</v>
      </c>
      <c r="F29" s="35"/>
      <c r="G29" s="37">
        <f t="shared" si="0"/>
        <v>5</v>
      </c>
      <c r="H29" s="37" t="str">
        <f t="shared" si="2"/>
        <v>K25:K29</v>
      </c>
      <c r="I29" s="33" t="s">
        <v>144</v>
      </c>
      <c r="J29" s="42" t="s">
        <v>100</v>
      </c>
      <c r="K29" s="33" t="s">
        <v>16</v>
      </c>
      <c r="L29" s="42" t="s">
        <v>4</v>
      </c>
      <c r="M29" s="42" t="s">
        <v>307</v>
      </c>
      <c r="N29" s="43" t="str">
        <f t="shared" si="1"/>
        <v>categoryLabels|fontSize</v>
      </c>
      <c r="O29" s="31" t="s">
        <v>302</v>
      </c>
      <c r="P29" s="31" t="s">
        <v>302</v>
      </c>
      <c r="Q29" s="31" t="s">
        <v>302</v>
      </c>
      <c r="R29" s="31" t="s">
        <v>302</v>
      </c>
      <c r="S29" s="31" t="s">
        <v>302</v>
      </c>
      <c r="T29" s="31" t="s">
        <v>302</v>
      </c>
      <c r="U29" s="31" t="s">
        <v>302</v>
      </c>
      <c r="V29" s="31" t="s">
        <v>302</v>
      </c>
      <c r="W29" s="31" t="s">
        <v>302</v>
      </c>
      <c r="X29" s="31" t="s">
        <v>302</v>
      </c>
      <c r="Y29" s="31" t="s">
        <v>302</v>
      </c>
      <c r="Z29" s="31" t="s">
        <v>302</v>
      </c>
      <c r="AA29" s="31" t="s">
        <v>302</v>
      </c>
      <c r="AB29" s="31" t="s">
        <v>302</v>
      </c>
      <c r="AC29" s="31"/>
      <c r="AD29" s="31"/>
      <c r="AE29" s="31"/>
      <c r="AF29" s="31"/>
      <c r="AG29" s="31"/>
      <c r="AH29" s="31"/>
      <c r="AI29" s="31"/>
      <c r="AJ29" s="31"/>
      <c r="AK29" s="31"/>
      <c r="AL29" s="31"/>
      <c r="AM29" s="31"/>
      <c r="AN29" s="31"/>
      <c r="AO29" s="31"/>
      <c r="AP29" s="31"/>
      <c r="AQ29" s="31"/>
      <c r="AR29" s="31"/>
      <c r="AS29" s="31"/>
      <c r="AT29" s="31"/>
      <c r="AU29" s="31"/>
    </row>
    <row r="30" spans="1:47" x14ac:dyDescent="0.25">
      <c r="A30" s="33" t="s">
        <v>201</v>
      </c>
      <c r="B30" s="34" t="s">
        <v>91</v>
      </c>
      <c r="C30" s="35"/>
      <c r="D30" s="34" t="s">
        <v>289</v>
      </c>
      <c r="E30" s="34" t="s">
        <v>289</v>
      </c>
      <c r="F30" s="35"/>
      <c r="G30" s="37">
        <f t="shared" si="0"/>
        <v>5</v>
      </c>
      <c r="H30" s="37" t="str">
        <f t="shared" si="2"/>
        <v>K30:K34</v>
      </c>
      <c r="I30" s="33" t="s">
        <v>169</v>
      </c>
      <c r="J30" s="42" t="s">
        <v>127</v>
      </c>
      <c r="K30" s="33" t="s">
        <v>502</v>
      </c>
      <c r="L30" s="42" t="s">
        <v>434</v>
      </c>
      <c r="M30" s="42" t="s">
        <v>104</v>
      </c>
      <c r="N30" s="43" t="str">
        <f t="shared" si="1"/>
        <v>status|badColor</v>
      </c>
      <c r="O30" s="31" t="s">
        <v>302</v>
      </c>
      <c r="P30" s="31" t="s">
        <v>302</v>
      </c>
      <c r="Q30" s="31" t="s">
        <v>302</v>
      </c>
      <c r="R30" s="31" t="s">
        <v>302</v>
      </c>
      <c r="S30" s="31" t="s">
        <v>302</v>
      </c>
      <c r="T30" s="31" t="s">
        <v>302</v>
      </c>
      <c r="U30" s="31" t="s">
        <v>302</v>
      </c>
      <c r="V30" s="31" t="s">
        <v>302</v>
      </c>
      <c r="W30" s="31" t="s">
        <v>302</v>
      </c>
      <c r="X30" s="31" t="s">
        <v>302</v>
      </c>
      <c r="Y30" s="31" t="s">
        <v>302</v>
      </c>
      <c r="Z30" s="31" t="s">
        <v>302</v>
      </c>
      <c r="AA30" s="31" t="s">
        <v>302</v>
      </c>
      <c r="AB30" s="31" t="s">
        <v>302</v>
      </c>
      <c r="AC30" s="31"/>
      <c r="AD30" s="31"/>
      <c r="AE30" s="31"/>
      <c r="AF30" s="31"/>
      <c r="AG30" s="31"/>
      <c r="AH30" s="31"/>
      <c r="AI30" s="31"/>
      <c r="AJ30" s="31"/>
      <c r="AK30" s="31"/>
      <c r="AL30" s="31"/>
      <c r="AM30" s="31"/>
      <c r="AN30" s="31"/>
      <c r="AO30" s="31"/>
      <c r="AP30" s="31"/>
      <c r="AQ30" s="31"/>
      <c r="AR30" s="31"/>
      <c r="AS30" s="31"/>
      <c r="AT30" s="31"/>
      <c r="AU30" s="31"/>
    </row>
    <row r="31" spans="1:47" x14ac:dyDescent="0.25">
      <c r="A31" s="33" t="s">
        <v>202</v>
      </c>
      <c r="B31" s="34" t="s">
        <v>92</v>
      </c>
      <c r="C31" s="35"/>
      <c r="D31" s="34" t="s">
        <v>156</v>
      </c>
      <c r="E31" s="34" t="s">
        <v>113</v>
      </c>
      <c r="F31" s="35"/>
      <c r="G31" s="37">
        <f t="shared" si="0"/>
        <v>5</v>
      </c>
      <c r="H31" s="37" t="str">
        <f t="shared" si="2"/>
        <v>K30:K34</v>
      </c>
      <c r="I31" s="33" t="s">
        <v>169</v>
      </c>
      <c r="J31" s="42" t="s">
        <v>127</v>
      </c>
      <c r="K31" s="33" t="s">
        <v>431</v>
      </c>
      <c r="L31" s="42" t="s">
        <v>242</v>
      </c>
      <c r="M31" s="42" t="s">
        <v>305</v>
      </c>
      <c r="N31" s="43" t="str">
        <f t="shared" si="1"/>
        <v>status|direction</v>
      </c>
      <c r="O31" s="31" t="s">
        <v>300</v>
      </c>
      <c r="P31" s="31" t="s">
        <v>301</v>
      </c>
      <c r="Q31" s="31"/>
      <c r="R31" s="31"/>
      <c r="S31" s="31"/>
      <c r="T31" s="31"/>
      <c r="U31" s="31"/>
      <c r="V31" s="31"/>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row>
    <row r="32" spans="1:47" x14ac:dyDescent="0.25">
      <c r="A32" s="33" t="s">
        <v>203</v>
      </c>
      <c r="B32" s="34" t="s">
        <v>93</v>
      </c>
      <c r="C32" s="35"/>
      <c r="D32" s="34" t="s">
        <v>157</v>
      </c>
      <c r="E32" s="34" t="s">
        <v>114</v>
      </c>
      <c r="F32" s="35"/>
      <c r="G32" s="37">
        <f t="shared" si="0"/>
        <v>5</v>
      </c>
      <c r="H32" s="37" t="str">
        <f t="shared" si="2"/>
        <v>K30:K34</v>
      </c>
      <c r="I32" s="33" t="s">
        <v>169</v>
      </c>
      <c r="J32" s="42" t="s">
        <v>127</v>
      </c>
      <c r="K32" s="33" t="s">
        <v>430</v>
      </c>
      <c r="L32" s="42" t="s">
        <v>429</v>
      </c>
      <c r="M32" s="42" t="s">
        <v>304</v>
      </c>
      <c r="N32" s="43" t="str">
        <f t="shared" si="1"/>
        <v>status|showDistance</v>
      </c>
      <c r="O32" s="31" t="s">
        <v>302</v>
      </c>
      <c r="P32" s="31" t="s">
        <v>302</v>
      </c>
      <c r="Q32" s="31" t="s">
        <v>302</v>
      </c>
      <c r="R32" s="31" t="s">
        <v>302</v>
      </c>
      <c r="S32" s="31" t="s">
        <v>302</v>
      </c>
      <c r="T32" s="31" t="s">
        <v>302</v>
      </c>
      <c r="U32" s="31" t="s">
        <v>302</v>
      </c>
      <c r="V32" s="31" t="s">
        <v>302</v>
      </c>
      <c r="W32" s="31" t="s">
        <v>302</v>
      </c>
      <c r="X32" s="31" t="s">
        <v>302</v>
      </c>
      <c r="Y32" s="31" t="s">
        <v>302</v>
      </c>
      <c r="Z32" s="31" t="s">
        <v>302</v>
      </c>
      <c r="AA32" s="31" t="s">
        <v>302</v>
      </c>
      <c r="AB32" s="31" t="s">
        <v>302</v>
      </c>
      <c r="AC32" s="31"/>
      <c r="AD32" s="31"/>
      <c r="AE32" s="31"/>
      <c r="AF32" s="31"/>
      <c r="AG32" s="31"/>
      <c r="AH32" s="31"/>
      <c r="AI32" s="31"/>
      <c r="AJ32" s="31"/>
      <c r="AK32" s="31"/>
      <c r="AL32" s="31"/>
      <c r="AM32" s="31"/>
      <c r="AN32" s="31"/>
      <c r="AO32" s="31"/>
      <c r="AP32" s="31"/>
      <c r="AQ32" s="31"/>
      <c r="AR32" s="31"/>
      <c r="AS32" s="31"/>
      <c r="AT32" s="31"/>
      <c r="AU32" s="31"/>
    </row>
    <row r="33" spans="4:47" x14ac:dyDescent="0.25">
      <c r="D33" s="36" t="s">
        <v>158</v>
      </c>
      <c r="E33" s="36" t="s">
        <v>115</v>
      </c>
      <c r="G33" s="37">
        <f t="shared" si="0"/>
        <v>5</v>
      </c>
      <c r="H33" s="37" t="str">
        <f t="shared" si="2"/>
        <v>K30:K34</v>
      </c>
      <c r="I33" s="33" t="s">
        <v>169</v>
      </c>
      <c r="J33" s="42" t="s">
        <v>127</v>
      </c>
      <c r="K33" s="33" t="s">
        <v>500</v>
      </c>
      <c r="L33" s="42" t="s">
        <v>432</v>
      </c>
      <c r="M33" s="42" t="s">
        <v>104</v>
      </c>
      <c r="N33" s="43" t="str">
        <f t="shared" si="1"/>
        <v>status|goodColor</v>
      </c>
      <c r="O33" s="31" t="s">
        <v>302</v>
      </c>
      <c r="P33" s="31" t="s">
        <v>302</v>
      </c>
      <c r="Q33" s="31" t="s">
        <v>302</v>
      </c>
      <c r="R33" s="31" t="s">
        <v>302</v>
      </c>
      <c r="S33" s="31" t="s">
        <v>302</v>
      </c>
      <c r="T33" s="31" t="s">
        <v>302</v>
      </c>
      <c r="U33" s="31" t="s">
        <v>302</v>
      </c>
      <c r="V33" s="31" t="s">
        <v>302</v>
      </c>
      <c r="W33" s="31" t="s">
        <v>302</v>
      </c>
      <c r="X33" s="31" t="s">
        <v>302</v>
      </c>
      <c r="Y33" s="31" t="s">
        <v>302</v>
      </c>
      <c r="Z33" s="31" t="s">
        <v>302</v>
      </c>
      <c r="AA33" s="31" t="s">
        <v>302</v>
      </c>
      <c r="AB33" s="31" t="s">
        <v>302</v>
      </c>
      <c r="AC33" s="31"/>
      <c r="AD33" s="31"/>
      <c r="AE33" s="31"/>
      <c r="AF33" s="31"/>
      <c r="AG33" s="31"/>
      <c r="AH33" s="31"/>
      <c r="AI33" s="31"/>
      <c r="AJ33" s="31"/>
      <c r="AK33" s="31"/>
      <c r="AL33" s="31"/>
      <c r="AM33" s="31"/>
      <c r="AN33" s="31"/>
      <c r="AO33" s="31"/>
      <c r="AP33" s="31"/>
      <c r="AQ33" s="31"/>
      <c r="AR33" s="31"/>
      <c r="AS33" s="31"/>
      <c r="AT33" s="31"/>
      <c r="AU33" s="31"/>
    </row>
    <row r="34" spans="4:47" x14ac:dyDescent="0.25">
      <c r="D34" s="36" t="s">
        <v>31</v>
      </c>
      <c r="E34" s="36" t="s">
        <v>117</v>
      </c>
      <c r="G34" s="37">
        <f t="shared" si="0"/>
        <v>5</v>
      </c>
      <c r="H34" s="37" t="str">
        <f t="shared" si="2"/>
        <v>K30:K34</v>
      </c>
      <c r="I34" s="33" t="s">
        <v>169</v>
      </c>
      <c r="J34" s="42" t="s">
        <v>127</v>
      </c>
      <c r="K34" s="33" t="s">
        <v>501</v>
      </c>
      <c r="L34" s="42" t="s">
        <v>433</v>
      </c>
      <c r="M34" s="42" t="s">
        <v>104</v>
      </c>
      <c r="N34" s="43" t="str">
        <f t="shared" si="1"/>
        <v>status|neutralColor</v>
      </c>
      <c r="O34" s="31" t="s">
        <v>302</v>
      </c>
      <c r="P34" s="31" t="s">
        <v>302</v>
      </c>
      <c r="Q34" s="31" t="s">
        <v>302</v>
      </c>
      <c r="R34" s="31" t="s">
        <v>302</v>
      </c>
      <c r="S34" s="31" t="s">
        <v>302</v>
      </c>
      <c r="T34" s="31" t="s">
        <v>302</v>
      </c>
      <c r="U34" s="31" t="s">
        <v>302</v>
      </c>
      <c r="V34" s="31" t="s">
        <v>302</v>
      </c>
      <c r="W34" s="31" t="s">
        <v>302</v>
      </c>
      <c r="X34" s="31" t="s">
        <v>302</v>
      </c>
      <c r="Y34" s="31" t="s">
        <v>302</v>
      </c>
      <c r="Z34" s="31" t="s">
        <v>302</v>
      </c>
      <c r="AA34" s="31" t="s">
        <v>302</v>
      </c>
      <c r="AB34" s="31" t="s">
        <v>302</v>
      </c>
      <c r="AC34" s="31"/>
      <c r="AD34" s="31"/>
      <c r="AE34" s="31"/>
      <c r="AF34" s="31"/>
      <c r="AG34" s="31"/>
      <c r="AH34" s="31"/>
      <c r="AI34" s="31"/>
      <c r="AJ34" s="31"/>
      <c r="AK34" s="31"/>
      <c r="AL34" s="31"/>
      <c r="AM34" s="31"/>
      <c r="AN34" s="31"/>
      <c r="AO34" s="31"/>
      <c r="AP34" s="31"/>
      <c r="AQ34" s="31"/>
      <c r="AR34" s="31"/>
      <c r="AS34" s="31"/>
      <c r="AT34" s="31"/>
      <c r="AU34" s="31"/>
    </row>
    <row r="35" spans="4:47" x14ac:dyDescent="0.25">
      <c r="D35" s="36" t="s">
        <v>161</v>
      </c>
      <c r="E35" s="36" t="s">
        <v>119</v>
      </c>
      <c r="G35" s="37">
        <f t="shared" si="0"/>
        <v>1</v>
      </c>
      <c r="H35" s="37" t="str">
        <f t="shared" si="2"/>
        <v>K35:K35</v>
      </c>
      <c r="I35" s="33" t="s">
        <v>376</v>
      </c>
      <c r="J35" s="42" t="s">
        <v>376</v>
      </c>
      <c r="K35" s="33" t="s">
        <v>213</v>
      </c>
      <c r="L35" s="42" t="s">
        <v>54</v>
      </c>
      <c r="M35" s="42" t="s">
        <v>304</v>
      </c>
      <c r="N35" s="43" t="str">
        <f t="shared" si="1"/>
        <v>colorByCategory|show</v>
      </c>
      <c r="O35" s="31" t="s">
        <v>302</v>
      </c>
      <c r="P35" s="31" t="s">
        <v>302</v>
      </c>
      <c r="Q35" s="31" t="s">
        <v>302</v>
      </c>
      <c r="R35" s="31" t="s">
        <v>302</v>
      </c>
      <c r="S35" s="31" t="s">
        <v>302</v>
      </c>
      <c r="T35" s="31" t="s">
        <v>302</v>
      </c>
      <c r="U35" s="31" t="s">
        <v>302</v>
      </c>
      <c r="V35" s="31" t="s">
        <v>302</v>
      </c>
      <c r="W35" s="31" t="s">
        <v>302</v>
      </c>
      <c r="X35" s="31" t="s">
        <v>302</v>
      </c>
      <c r="Y35" s="31" t="s">
        <v>302</v>
      </c>
      <c r="Z35" s="31" t="s">
        <v>302</v>
      </c>
      <c r="AA35" s="31" t="s">
        <v>302</v>
      </c>
      <c r="AB35" s="31" t="s">
        <v>302</v>
      </c>
      <c r="AC35" s="31"/>
      <c r="AD35" s="31"/>
      <c r="AE35" s="31"/>
      <c r="AF35" s="31"/>
      <c r="AG35" s="31"/>
      <c r="AH35" s="31"/>
      <c r="AI35" s="31"/>
      <c r="AJ35" s="31"/>
      <c r="AK35" s="31"/>
      <c r="AL35" s="31"/>
      <c r="AM35" s="31"/>
      <c r="AN35" s="31"/>
      <c r="AO35" s="31"/>
      <c r="AP35" s="31"/>
      <c r="AQ35" s="31"/>
      <c r="AR35" s="31"/>
      <c r="AS35" s="31"/>
      <c r="AT35" s="31"/>
      <c r="AU35" s="31"/>
    </row>
    <row r="36" spans="4:47" x14ac:dyDescent="0.25">
      <c r="D36" s="36" t="s">
        <v>163</v>
      </c>
      <c r="E36" s="36" t="s">
        <v>121</v>
      </c>
      <c r="G36" s="37">
        <f t="shared" si="0"/>
        <v>9</v>
      </c>
      <c r="H36" s="37" t="str">
        <f t="shared" si="2"/>
        <v>K36:K44</v>
      </c>
      <c r="I36" s="33" t="s">
        <v>146</v>
      </c>
      <c r="J36" s="42" t="s">
        <v>102</v>
      </c>
      <c r="K36" s="33" t="s">
        <v>480</v>
      </c>
      <c r="L36" s="42" t="s">
        <v>390</v>
      </c>
      <c r="M36" s="42" t="s">
        <v>304</v>
      </c>
      <c r="N36" s="43" t="str">
        <f t="shared" si="1"/>
        <v>columnHeaders|autoSizeColumnWidth</v>
      </c>
      <c r="O36" s="31" t="s">
        <v>302</v>
      </c>
      <c r="P36" s="31" t="s">
        <v>302</v>
      </c>
      <c r="Q36" s="31" t="s">
        <v>302</v>
      </c>
      <c r="R36" s="31" t="s">
        <v>302</v>
      </c>
      <c r="S36" s="31" t="s">
        <v>302</v>
      </c>
      <c r="T36" s="31" t="s">
        <v>302</v>
      </c>
      <c r="U36" s="31" t="s">
        <v>302</v>
      </c>
      <c r="V36" s="31" t="s">
        <v>302</v>
      </c>
      <c r="W36" s="31" t="s">
        <v>302</v>
      </c>
      <c r="X36" s="31" t="s">
        <v>302</v>
      </c>
      <c r="Y36" s="31" t="s">
        <v>302</v>
      </c>
      <c r="Z36" s="31" t="s">
        <v>302</v>
      </c>
      <c r="AA36" s="31" t="s">
        <v>302</v>
      </c>
      <c r="AB36" s="31" t="s">
        <v>302</v>
      </c>
      <c r="AC36" s="31"/>
      <c r="AD36" s="31"/>
      <c r="AE36" s="31"/>
      <c r="AF36" s="31"/>
      <c r="AG36" s="31"/>
      <c r="AH36" s="31"/>
      <c r="AI36" s="31"/>
      <c r="AJ36" s="31"/>
      <c r="AK36" s="31"/>
      <c r="AL36" s="31"/>
      <c r="AM36" s="31"/>
      <c r="AN36" s="31"/>
      <c r="AO36" s="31"/>
      <c r="AP36" s="31"/>
      <c r="AQ36" s="31"/>
      <c r="AR36" s="31"/>
      <c r="AS36" s="31"/>
      <c r="AT36" s="31"/>
      <c r="AU36" s="31"/>
    </row>
    <row r="37" spans="4:47" x14ac:dyDescent="0.25">
      <c r="D37" s="36" t="s">
        <v>164</v>
      </c>
      <c r="E37" s="36" t="s">
        <v>122</v>
      </c>
      <c r="G37" s="37">
        <f t="shared" si="0"/>
        <v>9</v>
      </c>
      <c r="H37" s="37" t="str">
        <f t="shared" si="2"/>
        <v>K36:K44</v>
      </c>
      <c r="I37" s="33" t="s">
        <v>146</v>
      </c>
      <c r="J37" s="42" t="s">
        <v>102</v>
      </c>
      <c r="K37" s="33" t="s">
        <v>34</v>
      </c>
      <c r="L37" s="42" t="s">
        <v>389</v>
      </c>
      <c r="M37" s="42" t="s">
        <v>104</v>
      </c>
      <c r="N37" s="43" t="str">
        <f t="shared" si="1"/>
        <v>columnHeaders|backColor</v>
      </c>
      <c r="O37" s="31" t="s">
        <v>302</v>
      </c>
      <c r="P37" s="31" t="s">
        <v>302</v>
      </c>
      <c r="Q37" s="31" t="s">
        <v>302</v>
      </c>
      <c r="R37" s="31" t="s">
        <v>302</v>
      </c>
      <c r="S37" s="31" t="s">
        <v>302</v>
      </c>
      <c r="T37" s="31" t="s">
        <v>302</v>
      </c>
      <c r="U37" s="31" t="s">
        <v>302</v>
      </c>
      <c r="V37" s="31" t="s">
        <v>302</v>
      </c>
      <c r="W37" s="31" t="s">
        <v>302</v>
      </c>
      <c r="X37" s="31" t="s">
        <v>302</v>
      </c>
      <c r="Y37" s="31" t="s">
        <v>302</v>
      </c>
      <c r="Z37" s="31" t="s">
        <v>302</v>
      </c>
      <c r="AA37" s="31" t="s">
        <v>302</v>
      </c>
      <c r="AB37" s="31" t="s">
        <v>302</v>
      </c>
      <c r="AC37" s="31"/>
      <c r="AD37" s="31"/>
      <c r="AE37" s="31"/>
      <c r="AF37" s="31"/>
      <c r="AG37" s="31"/>
      <c r="AH37" s="31"/>
      <c r="AI37" s="31"/>
      <c r="AJ37" s="31"/>
      <c r="AK37" s="31"/>
      <c r="AL37" s="31"/>
      <c r="AM37" s="31"/>
      <c r="AN37" s="31"/>
      <c r="AO37" s="31"/>
      <c r="AP37" s="31"/>
      <c r="AQ37" s="31"/>
      <c r="AR37" s="31"/>
      <c r="AS37" s="31"/>
      <c r="AT37" s="31"/>
      <c r="AU37" s="31"/>
    </row>
    <row r="38" spans="4:47" x14ac:dyDescent="0.25">
      <c r="D38" s="36" t="s">
        <v>165</v>
      </c>
      <c r="E38" s="36" t="s">
        <v>123</v>
      </c>
      <c r="G38" s="37">
        <f t="shared" si="0"/>
        <v>9</v>
      </c>
      <c r="H38" s="37" t="str">
        <f t="shared" si="2"/>
        <v>K36:K44</v>
      </c>
      <c r="I38" s="33" t="s">
        <v>146</v>
      </c>
      <c r="J38" s="42" t="s">
        <v>102</v>
      </c>
      <c r="K38" s="33" t="s">
        <v>33</v>
      </c>
      <c r="L38" s="42" t="s">
        <v>211</v>
      </c>
      <c r="M38" s="42" t="s">
        <v>104</v>
      </c>
      <c r="N38" s="43" t="str">
        <f t="shared" si="1"/>
        <v>columnHeaders|fontColor</v>
      </c>
      <c r="O38" s="31" t="s">
        <v>302</v>
      </c>
      <c r="P38" s="31" t="s">
        <v>302</v>
      </c>
      <c r="Q38" s="31" t="s">
        <v>302</v>
      </c>
      <c r="R38" s="31" t="s">
        <v>302</v>
      </c>
      <c r="S38" s="31" t="s">
        <v>302</v>
      </c>
      <c r="T38" s="31" t="s">
        <v>302</v>
      </c>
      <c r="U38" s="31" t="s">
        <v>302</v>
      </c>
      <c r="V38" s="31" t="s">
        <v>302</v>
      </c>
      <c r="W38" s="31" t="s">
        <v>302</v>
      </c>
      <c r="X38" s="31" t="s">
        <v>302</v>
      </c>
      <c r="Y38" s="31" t="s">
        <v>302</v>
      </c>
      <c r="Z38" s="31" t="s">
        <v>302</v>
      </c>
      <c r="AA38" s="31" t="s">
        <v>302</v>
      </c>
      <c r="AB38" s="31" t="s">
        <v>302</v>
      </c>
      <c r="AC38" s="31"/>
      <c r="AD38" s="31"/>
      <c r="AE38" s="31"/>
      <c r="AF38" s="31"/>
      <c r="AG38" s="31"/>
      <c r="AH38" s="31"/>
      <c r="AI38" s="31"/>
      <c r="AJ38" s="31"/>
      <c r="AK38" s="31"/>
      <c r="AL38" s="31"/>
      <c r="AM38" s="31"/>
      <c r="AN38" s="31"/>
      <c r="AO38" s="31"/>
      <c r="AP38" s="31"/>
      <c r="AQ38" s="31"/>
      <c r="AR38" s="31"/>
      <c r="AS38" s="31"/>
      <c r="AT38" s="31"/>
      <c r="AU38" s="31"/>
    </row>
    <row r="39" spans="4:47" x14ac:dyDescent="0.25">
      <c r="D39" s="36" t="s">
        <v>166</v>
      </c>
      <c r="E39" s="36" t="s">
        <v>124</v>
      </c>
      <c r="G39" s="37">
        <f t="shared" si="0"/>
        <v>9</v>
      </c>
      <c r="H39" s="37" t="str">
        <f t="shared" si="2"/>
        <v>K36:K44</v>
      </c>
      <c r="I39" s="33" t="s">
        <v>146</v>
      </c>
      <c r="J39" s="42" t="s">
        <v>102</v>
      </c>
      <c r="K39" s="33" t="s">
        <v>17</v>
      </c>
      <c r="L39" s="42" t="s">
        <v>5</v>
      </c>
      <c r="M39" s="42" t="s">
        <v>307</v>
      </c>
      <c r="N39" s="43" t="str">
        <f t="shared" si="1"/>
        <v>columnHeaders|fontFamily</v>
      </c>
      <c r="O39" s="31" t="s">
        <v>302</v>
      </c>
      <c r="P39" s="31" t="s">
        <v>302</v>
      </c>
      <c r="Q39" s="31" t="s">
        <v>302</v>
      </c>
      <c r="R39" s="31" t="s">
        <v>302</v>
      </c>
      <c r="S39" s="31" t="s">
        <v>302</v>
      </c>
      <c r="T39" s="31" t="s">
        <v>302</v>
      </c>
      <c r="U39" s="31" t="s">
        <v>302</v>
      </c>
      <c r="V39" s="31" t="s">
        <v>302</v>
      </c>
      <c r="W39" s="31" t="s">
        <v>302</v>
      </c>
      <c r="X39" s="31" t="s">
        <v>302</v>
      </c>
      <c r="Y39" s="31" t="s">
        <v>302</v>
      </c>
      <c r="Z39" s="31" t="s">
        <v>302</v>
      </c>
      <c r="AA39" s="31" t="s">
        <v>302</v>
      </c>
      <c r="AB39" s="31" t="s">
        <v>302</v>
      </c>
      <c r="AC39" s="31"/>
      <c r="AD39" s="31"/>
      <c r="AE39" s="31"/>
      <c r="AF39" s="31"/>
      <c r="AG39" s="31"/>
      <c r="AH39" s="31"/>
      <c r="AI39" s="31"/>
      <c r="AJ39" s="31"/>
      <c r="AK39" s="31"/>
      <c r="AL39" s="31"/>
      <c r="AM39" s="31"/>
      <c r="AN39" s="31"/>
      <c r="AO39" s="31"/>
      <c r="AP39" s="31"/>
      <c r="AQ39" s="31"/>
      <c r="AR39" s="31"/>
      <c r="AS39" s="31"/>
      <c r="AT39" s="31"/>
      <c r="AU39" s="31"/>
    </row>
    <row r="40" spans="4:47" x14ac:dyDescent="0.25">
      <c r="D40" s="36" t="s">
        <v>167</v>
      </c>
      <c r="E40" s="36" t="s">
        <v>125</v>
      </c>
      <c r="G40" s="37">
        <f t="shared" si="0"/>
        <v>9</v>
      </c>
      <c r="H40" s="37" t="str">
        <f t="shared" si="2"/>
        <v>K36:K44</v>
      </c>
      <c r="I40" s="33" t="s">
        <v>146</v>
      </c>
      <c r="J40" s="42" t="s">
        <v>102</v>
      </c>
      <c r="K40" s="33" t="s">
        <v>358</v>
      </c>
      <c r="L40" s="42" t="s">
        <v>236</v>
      </c>
      <c r="M40" s="42" t="s">
        <v>305</v>
      </c>
      <c r="N40" s="43" t="str">
        <f t="shared" si="1"/>
        <v>columnHeaders|outline</v>
      </c>
      <c r="O40" s="31" t="s">
        <v>51</v>
      </c>
      <c r="P40" s="31" t="s">
        <v>283</v>
      </c>
      <c r="Q40" s="31" t="s">
        <v>284</v>
      </c>
      <c r="R40" s="31" t="s">
        <v>285</v>
      </c>
      <c r="S40" s="31" t="s">
        <v>286</v>
      </c>
      <c r="T40" s="31" t="s">
        <v>287</v>
      </c>
      <c r="U40" s="31" t="s">
        <v>288</v>
      </c>
      <c r="V40" s="31" t="s">
        <v>238</v>
      </c>
      <c r="W40" s="31"/>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row>
    <row r="41" spans="4:47" x14ac:dyDescent="0.25">
      <c r="D41" s="36" t="s">
        <v>155</v>
      </c>
      <c r="E41" s="36" t="s">
        <v>112</v>
      </c>
      <c r="G41" s="37">
        <f t="shared" si="0"/>
        <v>9</v>
      </c>
      <c r="H41" s="37" t="str">
        <f t="shared" si="2"/>
        <v>K36:K44</v>
      </c>
      <c r="I41" s="33" t="s">
        <v>146</v>
      </c>
      <c r="J41" s="42" t="s">
        <v>102</v>
      </c>
      <c r="K41" s="33" t="s">
        <v>16</v>
      </c>
      <c r="L41" s="42" t="s">
        <v>388</v>
      </c>
      <c r="M41" s="42" t="s">
        <v>310</v>
      </c>
      <c r="N41" s="43" t="str">
        <f t="shared" si="1"/>
        <v>columnHeaders|textSize</v>
      </c>
      <c r="O41" s="31" t="s">
        <v>302</v>
      </c>
      <c r="P41" s="31" t="s">
        <v>302</v>
      </c>
      <c r="Q41" s="31" t="s">
        <v>302</v>
      </c>
      <c r="R41" s="31" t="s">
        <v>302</v>
      </c>
      <c r="S41" s="31" t="s">
        <v>302</v>
      </c>
      <c r="T41" s="31" t="s">
        <v>302</v>
      </c>
      <c r="U41" s="31" t="s">
        <v>302</v>
      </c>
      <c r="V41" s="31" t="s">
        <v>302</v>
      </c>
      <c r="W41" s="31" t="s">
        <v>302</v>
      </c>
      <c r="X41" s="31" t="s">
        <v>302</v>
      </c>
      <c r="Y41" s="31" t="s">
        <v>302</v>
      </c>
      <c r="Z41" s="31" t="s">
        <v>302</v>
      </c>
      <c r="AA41" s="31" t="s">
        <v>302</v>
      </c>
      <c r="AB41" s="31" t="s">
        <v>302</v>
      </c>
      <c r="AC41" s="31"/>
      <c r="AD41" s="31"/>
      <c r="AE41" s="31"/>
      <c r="AF41" s="31"/>
      <c r="AG41" s="31"/>
      <c r="AH41" s="31"/>
      <c r="AI41" s="31"/>
      <c r="AJ41" s="31"/>
      <c r="AK41" s="31"/>
      <c r="AL41" s="31"/>
      <c r="AM41" s="31"/>
      <c r="AN41" s="31"/>
      <c r="AO41" s="31"/>
      <c r="AP41" s="31"/>
      <c r="AQ41" s="31"/>
      <c r="AR41" s="31"/>
      <c r="AS41" s="31"/>
      <c r="AT41" s="31"/>
      <c r="AU41" s="31"/>
    </row>
    <row r="42" spans="4:47" x14ac:dyDescent="0.25">
      <c r="D42" s="36" t="s">
        <v>168</v>
      </c>
      <c r="E42" s="36" t="s">
        <v>126</v>
      </c>
      <c r="G42" s="37">
        <f t="shared" si="0"/>
        <v>9</v>
      </c>
      <c r="H42" s="37" t="str">
        <f t="shared" si="2"/>
        <v>K36:K44</v>
      </c>
      <c r="I42" s="33" t="s">
        <v>146</v>
      </c>
      <c r="J42" s="42" t="s">
        <v>102</v>
      </c>
      <c r="K42" s="33" t="s">
        <v>16</v>
      </c>
      <c r="L42" s="42" t="s">
        <v>4</v>
      </c>
      <c r="M42" s="42" t="s">
        <v>307</v>
      </c>
      <c r="N42" s="43" t="str">
        <f t="shared" si="1"/>
        <v>columnHeaders|fontSize</v>
      </c>
      <c r="O42" s="31" t="s">
        <v>302</v>
      </c>
      <c r="P42" s="31" t="s">
        <v>302</v>
      </c>
      <c r="Q42" s="31" t="s">
        <v>302</v>
      </c>
      <c r="R42" s="31" t="s">
        <v>302</v>
      </c>
      <c r="S42" s="31" t="s">
        <v>302</v>
      </c>
      <c r="T42" s="31" t="s">
        <v>302</v>
      </c>
      <c r="U42" s="31" t="s">
        <v>302</v>
      </c>
      <c r="V42" s="31" t="s">
        <v>302</v>
      </c>
      <c r="W42" s="31" t="s">
        <v>302</v>
      </c>
      <c r="X42" s="31" t="s">
        <v>302</v>
      </c>
      <c r="Y42" s="31" t="s">
        <v>302</v>
      </c>
      <c r="Z42" s="31" t="s">
        <v>302</v>
      </c>
      <c r="AA42" s="31" t="s">
        <v>302</v>
      </c>
      <c r="AB42" s="31" t="s">
        <v>302</v>
      </c>
      <c r="AC42" s="31"/>
      <c r="AD42" s="31"/>
      <c r="AE42" s="31"/>
      <c r="AF42" s="31"/>
      <c r="AG42" s="31"/>
      <c r="AH42" s="31"/>
      <c r="AI42" s="31"/>
      <c r="AJ42" s="31"/>
      <c r="AK42" s="31"/>
      <c r="AL42" s="31"/>
      <c r="AM42" s="31"/>
      <c r="AN42" s="31"/>
      <c r="AO42" s="31"/>
      <c r="AP42" s="31"/>
      <c r="AQ42" s="31"/>
      <c r="AR42" s="31"/>
      <c r="AS42" s="31"/>
      <c r="AT42" s="31"/>
      <c r="AU42" s="31"/>
    </row>
    <row r="43" spans="4:47" x14ac:dyDescent="0.25">
      <c r="D43" s="36" t="s">
        <v>170</v>
      </c>
      <c r="E43" s="36" t="s">
        <v>128</v>
      </c>
      <c r="G43" s="37">
        <f t="shared" si="0"/>
        <v>9</v>
      </c>
      <c r="H43" s="37" t="str">
        <f t="shared" si="2"/>
        <v>K36:K44</v>
      </c>
      <c r="I43" s="33" t="s">
        <v>146</v>
      </c>
      <c r="J43" s="42" t="s">
        <v>102</v>
      </c>
      <c r="K43" s="33" t="s">
        <v>481</v>
      </c>
      <c r="L43" s="42" t="s">
        <v>391</v>
      </c>
      <c r="M43" s="42" t="s">
        <v>304</v>
      </c>
      <c r="N43" s="43" t="str">
        <f t="shared" si="1"/>
        <v>columnHeaders|urlIcon</v>
      </c>
      <c r="O43" s="31" t="s">
        <v>302</v>
      </c>
      <c r="P43" s="31" t="s">
        <v>302</v>
      </c>
      <c r="Q43" s="31" t="s">
        <v>302</v>
      </c>
      <c r="R43" s="31" t="s">
        <v>302</v>
      </c>
      <c r="S43" s="31" t="s">
        <v>302</v>
      </c>
      <c r="T43" s="31" t="s">
        <v>302</v>
      </c>
      <c r="U43" s="31" t="s">
        <v>302</v>
      </c>
      <c r="V43" s="31" t="s">
        <v>302</v>
      </c>
      <c r="W43" s="31" t="s">
        <v>302</v>
      </c>
      <c r="X43" s="31" t="s">
        <v>302</v>
      </c>
      <c r="Y43" s="31" t="s">
        <v>302</v>
      </c>
      <c r="Z43" s="31" t="s">
        <v>302</v>
      </c>
      <c r="AA43" s="31" t="s">
        <v>302</v>
      </c>
      <c r="AB43" s="31" t="s">
        <v>302</v>
      </c>
      <c r="AC43" s="31"/>
      <c r="AD43" s="31"/>
      <c r="AE43" s="31"/>
      <c r="AF43" s="31"/>
      <c r="AG43" s="31"/>
      <c r="AH43" s="31"/>
      <c r="AI43" s="31"/>
      <c r="AJ43" s="31"/>
      <c r="AK43" s="31"/>
      <c r="AL43" s="31"/>
      <c r="AM43" s="31"/>
      <c r="AN43" s="31"/>
      <c r="AO43" s="31"/>
      <c r="AP43" s="31"/>
      <c r="AQ43" s="31"/>
      <c r="AR43" s="31"/>
      <c r="AS43" s="31"/>
      <c r="AT43" s="31"/>
      <c r="AU43" s="31"/>
    </row>
    <row r="44" spans="4:47" x14ac:dyDescent="0.25">
      <c r="D44" s="36" t="s">
        <v>160</v>
      </c>
      <c r="E44" s="36" t="s">
        <v>118</v>
      </c>
      <c r="G44" s="37">
        <f t="shared" si="0"/>
        <v>9</v>
      </c>
      <c r="H44" s="37" t="str">
        <f t="shared" si="2"/>
        <v>K36:K44</v>
      </c>
      <c r="I44" s="33" t="s">
        <v>146</v>
      </c>
      <c r="J44" s="42" t="s">
        <v>102</v>
      </c>
      <c r="K44" s="33" t="s">
        <v>176</v>
      </c>
      <c r="L44" s="42" t="s">
        <v>135</v>
      </c>
      <c r="M44" s="42" t="s">
        <v>304</v>
      </c>
      <c r="N44" s="43" t="str">
        <f t="shared" si="1"/>
        <v>columnHeaders|wordWrap</v>
      </c>
      <c r="O44" s="31" t="s">
        <v>302</v>
      </c>
      <c r="P44" s="31" t="s">
        <v>302</v>
      </c>
      <c r="Q44" s="31" t="s">
        <v>302</v>
      </c>
      <c r="R44" s="31" t="s">
        <v>302</v>
      </c>
      <c r="S44" s="31" t="s">
        <v>302</v>
      </c>
      <c r="T44" s="31" t="s">
        <v>302</v>
      </c>
      <c r="U44" s="31" t="s">
        <v>302</v>
      </c>
      <c r="V44" s="31" t="s">
        <v>302</v>
      </c>
      <c r="W44" s="31" t="s">
        <v>302</v>
      </c>
      <c r="X44" s="31" t="s">
        <v>302</v>
      </c>
      <c r="Y44" s="31" t="s">
        <v>302</v>
      </c>
      <c r="Z44" s="31" t="s">
        <v>302</v>
      </c>
      <c r="AA44" s="31" t="s">
        <v>302</v>
      </c>
      <c r="AB44" s="31" t="s">
        <v>302</v>
      </c>
      <c r="AC44" s="31"/>
      <c r="AD44" s="31"/>
      <c r="AE44" s="31"/>
      <c r="AF44" s="31"/>
      <c r="AG44" s="31"/>
      <c r="AH44" s="31"/>
      <c r="AI44" s="31"/>
      <c r="AJ44" s="31"/>
      <c r="AK44" s="31"/>
      <c r="AL44" s="31"/>
      <c r="AM44" s="31"/>
      <c r="AN44" s="31"/>
      <c r="AO44" s="31"/>
      <c r="AP44" s="31"/>
      <c r="AQ44" s="31"/>
      <c r="AR44" s="31"/>
      <c r="AS44" s="31"/>
      <c r="AT44" s="31"/>
      <c r="AU44" s="31"/>
    </row>
    <row r="45" spans="4:47" x14ac:dyDescent="0.25">
      <c r="D45" s="36" t="s">
        <v>171</v>
      </c>
      <c r="E45" s="36" t="s">
        <v>129</v>
      </c>
      <c r="G45" s="37">
        <f t="shared" si="0"/>
        <v>13</v>
      </c>
      <c r="H45" s="37" t="str">
        <f t="shared" si="2"/>
        <v>K45:K57</v>
      </c>
      <c r="I45" s="33" t="s">
        <v>162</v>
      </c>
      <c r="J45" s="42" t="s">
        <v>120</v>
      </c>
      <c r="K45" s="33" t="s">
        <v>15</v>
      </c>
      <c r="L45" s="42" t="s">
        <v>347</v>
      </c>
      <c r="M45" s="42" t="s">
        <v>104</v>
      </c>
      <c r="N45" s="43" t="str">
        <f t="shared" si="1"/>
        <v>referenceLine|lineColor</v>
      </c>
      <c r="O45" s="31" t="s">
        <v>302</v>
      </c>
      <c r="P45" s="31" t="s">
        <v>302</v>
      </c>
      <c r="Q45" s="31" t="s">
        <v>302</v>
      </c>
      <c r="R45" s="31" t="s">
        <v>302</v>
      </c>
      <c r="S45" s="31" t="s">
        <v>302</v>
      </c>
      <c r="T45" s="31" t="s">
        <v>302</v>
      </c>
      <c r="U45" s="31" t="s">
        <v>302</v>
      </c>
      <c r="V45" s="31" t="s">
        <v>302</v>
      </c>
      <c r="W45" s="31" t="s">
        <v>302</v>
      </c>
      <c r="X45" s="31" t="s">
        <v>302</v>
      </c>
      <c r="Y45" s="31" t="s">
        <v>302</v>
      </c>
      <c r="Z45" s="31" t="s">
        <v>302</v>
      </c>
      <c r="AA45" s="31" t="s">
        <v>302</v>
      </c>
      <c r="AB45" s="31" t="s">
        <v>302</v>
      </c>
      <c r="AC45" s="31"/>
      <c r="AD45" s="31"/>
      <c r="AE45" s="31"/>
      <c r="AF45" s="31"/>
      <c r="AG45" s="31"/>
      <c r="AH45" s="31"/>
      <c r="AI45" s="31"/>
      <c r="AJ45" s="31"/>
      <c r="AK45" s="31"/>
      <c r="AL45" s="31"/>
      <c r="AM45" s="31"/>
      <c r="AN45" s="31"/>
      <c r="AO45" s="31"/>
      <c r="AP45" s="31"/>
      <c r="AQ45" s="31"/>
      <c r="AR45" s="31"/>
      <c r="AS45" s="31"/>
      <c r="AT45" s="31"/>
      <c r="AU45" s="31"/>
    </row>
    <row r="46" spans="4:47" x14ac:dyDescent="0.25">
      <c r="D46" s="36" t="s">
        <v>174</v>
      </c>
      <c r="E46" s="36" t="s">
        <v>132</v>
      </c>
      <c r="G46" s="37">
        <f t="shared" si="0"/>
        <v>13</v>
      </c>
      <c r="H46" s="37" t="str">
        <f t="shared" si="2"/>
        <v>K45:K57</v>
      </c>
      <c r="I46" s="33" t="s">
        <v>162</v>
      </c>
      <c r="J46" s="42" t="s">
        <v>120</v>
      </c>
      <c r="K46" s="33" t="s">
        <v>15</v>
      </c>
      <c r="L46" s="42" t="s">
        <v>350</v>
      </c>
      <c r="M46" s="42" t="s">
        <v>104</v>
      </c>
      <c r="N46" s="43" t="str">
        <f t="shared" si="1"/>
        <v>referenceLine|dataLabelColor</v>
      </c>
      <c r="O46" s="31" t="s">
        <v>302</v>
      </c>
      <c r="P46" s="31" t="s">
        <v>302</v>
      </c>
      <c r="Q46" s="31" t="s">
        <v>302</v>
      </c>
      <c r="R46" s="31" t="s">
        <v>302</v>
      </c>
      <c r="S46" s="31" t="s">
        <v>302</v>
      </c>
      <c r="T46" s="31" t="s">
        <v>302</v>
      </c>
      <c r="U46" s="31" t="s">
        <v>302</v>
      </c>
      <c r="V46" s="31" t="s">
        <v>302</v>
      </c>
      <c r="W46" s="31" t="s">
        <v>302</v>
      </c>
      <c r="X46" s="31" t="s">
        <v>302</v>
      </c>
      <c r="Y46" s="31" t="s">
        <v>302</v>
      </c>
      <c r="Z46" s="31" t="s">
        <v>302</v>
      </c>
      <c r="AA46" s="31" t="s">
        <v>302</v>
      </c>
      <c r="AB46" s="31" t="s">
        <v>302</v>
      </c>
      <c r="AC46" s="31"/>
      <c r="AD46" s="31"/>
      <c r="AE46" s="31"/>
      <c r="AF46" s="31"/>
      <c r="AG46" s="31"/>
      <c r="AH46" s="31"/>
      <c r="AI46" s="31"/>
      <c r="AJ46" s="31"/>
      <c r="AK46" s="31"/>
      <c r="AL46" s="31"/>
      <c r="AM46" s="31"/>
      <c r="AN46" s="31"/>
      <c r="AO46" s="31"/>
      <c r="AP46" s="31"/>
      <c r="AQ46" s="31"/>
      <c r="AR46" s="31"/>
      <c r="AS46" s="31"/>
      <c r="AT46" s="31"/>
      <c r="AU46" s="31"/>
    </row>
    <row r="47" spans="4:47" x14ac:dyDescent="0.25">
      <c r="D47" s="36" t="s">
        <v>173</v>
      </c>
      <c r="E47" s="36" t="s">
        <v>131</v>
      </c>
      <c r="G47" s="37">
        <f t="shared" si="0"/>
        <v>13</v>
      </c>
      <c r="H47" s="37" t="str">
        <f t="shared" si="2"/>
        <v>K45:K57</v>
      </c>
      <c r="I47" s="33" t="s">
        <v>162</v>
      </c>
      <c r="J47" s="42" t="s">
        <v>120</v>
      </c>
      <c r="K47" s="33" t="s">
        <v>454</v>
      </c>
      <c r="L47" s="42" t="s">
        <v>349</v>
      </c>
      <c r="M47" s="42" t="s">
        <v>304</v>
      </c>
      <c r="N47" s="43" t="str">
        <f t="shared" si="1"/>
        <v>referenceLine|dataLabelShow</v>
      </c>
      <c r="O47" s="31" t="s">
        <v>302</v>
      </c>
      <c r="P47" s="31" t="s">
        <v>302</v>
      </c>
      <c r="Q47" s="31" t="s">
        <v>302</v>
      </c>
      <c r="R47" s="31" t="s">
        <v>302</v>
      </c>
      <c r="S47" s="31" t="s">
        <v>302</v>
      </c>
      <c r="T47" s="31" t="s">
        <v>302</v>
      </c>
      <c r="U47" s="31" t="s">
        <v>302</v>
      </c>
      <c r="V47" s="31" t="s">
        <v>302</v>
      </c>
      <c r="W47" s="31" t="s">
        <v>302</v>
      </c>
      <c r="X47" s="31" t="s">
        <v>302</v>
      </c>
      <c r="Y47" s="31" t="s">
        <v>302</v>
      </c>
      <c r="Z47" s="31" t="s">
        <v>302</v>
      </c>
      <c r="AA47" s="31" t="s">
        <v>302</v>
      </c>
      <c r="AB47" s="31" t="s">
        <v>302</v>
      </c>
      <c r="AC47" s="31"/>
      <c r="AD47" s="31"/>
      <c r="AE47" s="31"/>
      <c r="AF47" s="31"/>
      <c r="AG47" s="31"/>
      <c r="AH47" s="31"/>
      <c r="AI47" s="31"/>
      <c r="AJ47" s="31"/>
      <c r="AK47" s="31"/>
      <c r="AL47" s="31"/>
      <c r="AM47" s="31"/>
      <c r="AN47" s="31"/>
      <c r="AO47" s="31"/>
      <c r="AP47" s="31"/>
      <c r="AQ47" s="31"/>
      <c r="AR47" s="31"/>
      <c r="AS47" s="31"/>
      <c r="AT47" s="31"/>
      <c r="AU47" s="31"/>
    </row>
    <row r="48" spans="4:47" x14ac:dyDescent="0.25">
      <c r="D48" s="36" t="s">
        <v>175</v>
      </c>
      <c r="E48" s="36" t="s">
        <v>134</v>
      </c>
      <c r="G48" s="37">
        <f t="shared" si="0"/>
        <v>13</v>
      </c>
      <c r="H48" s="37" t="str">
        <f t="shared" si="2"/>
        <v>K45:K57</v>
      </c>
      <c r="I48" s="33" t="s">
        <v>162</v>
      </c>
      <c r="J48" s="42" t="s">
        <v>120</v>
      </c>
      <c r="K48" s="33" t="s">
        <v>455</v>
      </c>
      <c r="L48" s="42" t="s">
        <v>351</v>
      </c>
      <c r="M48" s="42" t="s">
        <v>310</v>
      </c>
      <c r="N48" s="43" t="str">
        <f t="shared" si="1"/>
        <v>referenceLine|dataLabelDecimalPoints</v>
      </c>
      <c r="O48" s="31" t="s">
        <v>302</v>
      </c>
      <c r="P48" s="31" t="s">
        <v>302</v>
      </c>
      <c r="Q48" s="31" t="s">
        <v>302</v>
      </c>
      <c r="R48" s="31" t="s">
        <v>302</v>
      </c>
      <c r="S48" s="31" t="s">
        <v>302</v>
      </c>
      <c r="T48" s="31" t="s">
        <v>302</v>
      </c>
      <c r="U48" s="31" t="s">
        <v>302</v>
      </c>
      <c r="V48" s="31" t="s">
        <v>302</v>
      </c>
      <c r="W48" s="31" t="s">
        <v>302</v>
      </c>
      <c r="X48" s="31" t="s">
        <v>302</v>
      </c>
      <c r="Y48" s="31" t="s">
        <v>302</v>
      </c>
      <c r="Z48" s="31" t="s">
        <v>302</v>
      </c>
      <c r="AA48" s="31" t="s">
        <v>302</v>
      </c>
      <c r="AB48" s="31" t="s">
        <v>302</v>
      </c>
      <c r="AC48" s="31"/>
      <c r="AD48" s="31"/>
      <c r="AE48" s="31"/>
      <c r="AF48" s="31"/>
      <c r="AG48" s="31"/>
      <c r="AH48" s="31"/>
      <c r="AI48" s="31"/>
      <c r="AJ48" s="31"/>
      <c r="AK48" s="31"/>
      <c r="AL48" s="31"/>
      <c r="AM48" s="31"/>
      <c r="AN48" s="31"/>
      <c r="AO48" s="31"/>
      <c r="AP48" s="31"/>
      <c r="AQ48" s="31"/>
      <c r="AR48" s="31"/>
      <c r="AS48" s="31"/>
      <c r="AT48" s="31"/>
      <c r="AU48" s="31"/>
    </row>
    <row r="49" spans="4:47" x14ac:dyDescent="0.25">
      <c r="D49" s="36" t="s">
        <v>176</v>
      </c>
      <c r="E49" s="36" t="s">
        <v>135</v>
      </c>
      <c r="G49" s="37">
        <f t="shared" si="0"/>
        <v>13</v>
      </c>
      <c r="H49" s="37" t="str">
        <f t="shared" si="2"/>
        <v>K45:K57</v>
      </c>
      <c r="I49" s="33" t="s">
        <v>162</v>
      </c>
      <c r="J49" s="42" t="s">
        <v>120</v>
      </c>
      <c r="K49" s="33" t="s">
        <v>27</v>
      </c>
      <c r="L49" s="42" t="s">
        <v>352</v>
      </c>
      <c r="M49" s="42" t="s">
        <v>307</v>
      </c>
      <c r="N49" s="43" t="str">
        <f t="shared" si="1"/>
        <v>referenceLine|dataLabelDisplayUnits</v>
      </c>
      <c r="O49" s="31" t="s">
        <v>302</v>
      </c>
      <c r="P49" s="31" t="s">
        <v>302</v>
      </c>
      <c r="Q49" s="31" t="s">
        <v>302</v>
      </c>
      <c r="R49" s="31" t="s">
        <v>302</v>
      </c>
      <c r="S49" s="31" t="s">
        <v>302</v>
      </c>
      <c r="T49" s="31" t="s">
        <v>302</v>
      </c>
      <c r="U49" s="31" t="s">
        <v>302</v>
      </c>
      <c r="V49" s="31" t="s">
        <v>302</v>
      </c>
      <c r="W49" s="31" t="s">
        <v>302</v>
      </c>
      <c r="X49" s="31" t="s">
        <v>302</v>
      </c>
      <c r="Y49" s="31" t="s">
        <v>302</v>
      </c>
      <c r="Z49" s="31" t="s">
        <v>302</v>
      </c>
      <c r="AA49" s="31" t="s">
        <v>302</v>
      </c>
      <c r="AB49" s="31" t="s">
        <v>302</v>
      </c>
      <c r="AC49" s="31"/>
      <c r="AD49" s="31"/>
      <c r="AE49" s="31"/>
      <c r="AF49" s="31"/>
      <c r="AG49" s="31"/>
      <c r="AH49" s="31"/>
      <c r="AI49" s="31"/>
      <c r="AJ49" s="31"/>
      <c r="AK49" s="31"/>
      <c r="AL49" s="31"/>
      <c r="AM49" s="31"/>
      <c r="AN49" s="31"/>
      <c r="AO49" s="31"/>
      <c r="AP49" s="31"/>
      <c r="AQ49" s="31"/>
      <c r="AR49" s="31"/>
      <c r="AS49" s="31"/>
      <c r="AT49" s="31"/>
      <c r="AU49" s="31"/>
    </row>
    <row r="50" spans="4:47" x14ac:dyDescent="0.25">
      <c r="D50" s="36" t="s">
        <v>23</v>
      </c>
      <c r="E50" s="36" t="s">
        <v>55</v>
      </c>
      <c r="G50" s="37">
        <f t="shared" si="0"/>
        <v>13</v>
      </c>
      <c r="H50" s="37" t="str">
        <f t="shared" si="2"/>
        <v>K45:K57</v>
      </c>
      <c r="I50" s="33" t="s">
        <v>162</v>
      </c>
      <c r="J50" s="42" t="s">
        <v>120</v>
      </c>
      <c r="K50" s="33" t="s">
        <v>456</v>
      </c>
      <c r="L50" s="42" t="s">
        <v>216</v>
      </c>
      <c r="M50" s="42" t="s">
        <v>305</v>
      </c>
      <c r="N50" s="43" t="str">
        <f t="shared" si="1"/>
        <v>referenceLine|dataLabelHorizontalPosition</v>
      </c>
      <c r="O50" s="31" t="s">
        <v>269</v>
      </c>
      <c r="P50" s="31" t="s">
        <v>237</v>
      </c>
      <c r="Q50" s="31" t="s">
        <v>270</v>
      </c>
      <c r="R50" s="31" t="s">
        <v>271</v>
      </c>
      <c r="S50" s="31"/>
      <c r="T50" s="31"/>
      <c r="U50" s="31"/>
      <c r="V50" s="31"/>
      <c r="W50" s="31"/>
      <c r="X50" s="31"/>
      <c r="Y50" s="31"/>
      <c r="Z50" s="31"/>
      <c r="AA50" s="31"/>
      <c r="AB50" s="31"/>
      <c r="AC50" s="31"/>
      <c r="AD50" s="31"/>
      <c r="AE50" s="31"/>
      <c r="AF50" s="31"/>
      <c r="AG50" s="31"/>
      <c r="AH50" s="31"/>
      <c r="AI50" s="31"/>
      <c r="AJ50" s="31"/>
      <c r="AK50" s="31"/>
      <c r="AL50" s="31"/>
      <c r="AM50" s="31"/>
      <c r="AN50" s="31"/>
      <c r="AO50" s="31"/>
      <c r="AP50" s="31"/>
      <c r="AQ50" s="31"/>
      <c r="AR50" s="31"/>
      <c r="AS50" s="31"/>
      <c r="AT50" s="31"/>
      <c r="AU50" s="31"/>
    </row>
    <row r="51" spans="4:47" x14ac:dyDescent="0.25">
      <c r="D51" s="36" t="s">
        <v>177</v>
      </c>
      <c r="E51" s="36" t="s">
        <v>136</v>
      </c>
      <c r="G51" s="37">
        <f t="shared" si="0"/>
        <v>13</v>
      </c>
      <c r="H51" s="37" t="str">
        <f t="shared" si="2"/>
        <v>K45:K57</v>
      </c>
      <c r="I51" s="33" t="s">
        <v>162</v>
      </c>
      <c r="J51" s="42" t="s">
        <v>120</v>
      </c>
      <c r="K51" s="33" t="s">
        <v>30</v>
      </c>
      <c r="L51" s="42" t="s">
        <v>231</v>
      </c>
      <c r="M51" s="42" t="s">
        <v>305</v>
      </c>
      <c r="N51" s="43" t="str">
        <f t="shared" si="1"/>
        <v>referenceLine|style</v>
      </c>
      <c r="O51" s="31" t="s">
        <v>253</v>
      </c>
      <c r="P51" s="31" t="s">
        <v>254</v>
      </c>
      <c r="Q51" s="31" t="s">
        <v>255</v>
      </c>
      <c r="R51" s="31"/>
      <c r="S51" s="31"/>
      <c r="T51" s="31"/>
      <c r="U51" s="31"/>
      <c r="V51" s="31"/>
      <c r="W51" s="31"/>
      <c r="X51" s="31"/>
      <c r="Y51" s="31"/>
      <c r="Z51" s="31"/>
      <c r="AA51" s="31"/>
      <c r="AB51" s="31"/>
      <c r="AC51" s="31"/>
      <c r="AD51" s="31"/>
      <c r="AE51" s="31"/>
      <c r="AF51" s="31"/>
      <c r="AG51" s="31"/>
      <c r="AH51" s="31"/>
      <c r="AI51" s="31"/>
      <c r="AJ51" s="31"/>
      <c r="AK51" s="31"/>
      <c r="AL51" s="31"/>
      <c r="AM51" s="31"/>
      <c r="AN51" s="31"/>
      <c r="AO51" s="31"/>
      <c r="AP51" s="31"/>
      <c r="AQ51" s="31"/>
      <c r="AR51" s="31"/>
      <c r="AS51" s="31"/>
      <c r="AT51" s="31"/>
      <c r="AU51" s="31"/>
    </row>
    <row r="52" spans="4:47" x14ac:dyDescent="0.25">
      <c r="D52" s="36" t="s">
        <v>18</v>
      </c>
      <c r="E52" s="36" t="s">
        <v>133</v>
      </c>
      <c r="G52" s="37">
        <f t="shared" si="0"/>
        <v>13</v>
      </c>
      <c r="H52" s="37" t="str">
        <f t="shared" si="2"/>
        <v>K45:K57</v>
      </c>
      <c r="I52" s="33" t="s">
        <v>162</v>
      </c>
      <c r="J52" s="42" t="s">
        <v>120</v>
      </c>
      <c r="K52" s="33" t="s">
        <v>233</v>
      </c>
      <c r="L52" s="42" t="s">
        <v>222</v>
      </c>
      <c r="M52" s="42" t="s">
        <v>317</v>
      </c>
      <c r="N52" s="43" t="str">
        <f t="shared" si="1"/>
        <v>referenceLine|displayName</v>
      </c>
      <c r="O52" s="31" t="s">
        <v>302</v>
      </c>
      <c r="P52" s="31" t="s">
        <v>302</v>
      </c>
      <c r="Q52" s="31" t="s">
        <v>302</v>
      </c>
      <c r="R52" s="31" t="s">
        <v>302</v>
      </c>
      <c r="S52" s="31" t="s">
        <v>302</v>
      </c>
      <c r="T52" s="31" t="s">
        <v>302</v>
      </c>
      <c r="U52" s="31" t="s">
        <v>302</v>
      </c>
      <c r="V52" s="31" t="s">
        <v>302</v>
      </c>
      <c r="W52" s="31" t="s">
        <v>302</v>
      </c>
      <c r="X52" s="31" t="s">
        <v>302</v>
      </c>
      <c r="Y52" s="31" t="s">
        <v>302</v>
      </c>
      <c r="Z52" s="31" t="s">
        <v>302</v>
      </c>
      <c r="AA52" s="31" t="s">
        <v>302</v>
      </c>
      <c r="AB52" s="31" t="s">
        <v>302</v>
      </c>
      <c r="AC52" s="31"/>
      <c r="AD52" s="31"/>
      <c r="AE52" s="31"/>
      <c r="AF52" s="31"/>
      <c r="AG52" s="31"/>
      <c r="AH52" s="31"/>
      <c r="AI52" s="31"/>
      <c r="AJ52" s="31"/>
      <c r="AK52" s="31"/>
      <c r="AL52" s="31"/>
      <c r="AM52" s="31"/>
      <c r="AN52" s="31"/>
      <c r="AO52" s="31"/>
      <c r="AP52" s="31"/>
      <c r="AQ52" s="31"/>
      <c r="AR52" s="31"/>
      <c r="AS52" s="31"/>
      <c r="AT52" s="31"/>
      <c r="AU52" s="31"/>
    </row>
    <row r="53" spans="4:47" x14ac:dyDescent="0.25">
      <c r="D53" s="36" t="s">
        <v>178</v>
      </c>
      <c r="E53" s="36" t="s">
        <v>137</v>
      </c>
      <c r="G53" s="37">
        <f t="shared" si="0"/>
        <v>13</v>
      </c>
      <c r="H53" s="37" t="str">
        <f t="shared" si="2"/>
        <v>K45:K57</v>
      </c>
      <c r="I53" s="33" t="s">
        <v>162</v>
      </c>
      <c r="J53" s="42" t="s">
        <v>120</v>
      </c>
      <c r="K53" s="33" t="s">
        <v>13</v>
      </c>
      <c r="L53" s="42" t="s">
        <v>52</v>
      </c>
      <c r="M53" s="42" t="s">
        <v>305</v>
      </c>
      <c r="N53" s="43" t="str">
        <f t="shared" si="1"/>
        <v>referenceLine|position</v>
      </c>
      <c r="O53" s="31" t="s">
        <v>267</v>
      </c>
      <c r="P53" s="31" t="s">
        <v>268</v>
      </c>
      <c r="Q53" s="31"/>
      <c r="R53" s="31"/>
      <c r="S53" s="31"/>
      <c r="T53" s="31"/>
      <c r="U53" s="31"/>
      <c r="V53" s="31"/>
      <c r="W53" s="31"/>
      <c r="X53" s="31"/>
      <c r="Y53" s="31"/>
      <c r="Z53" s="31"/>
      <c r="AA53" s="31"/>
      <c r="AB53" s="31"/>
      <c r="AC53" s="31"/>
      <c r="AD53" s="31"/>
      <c r="AE53" s="31"/>
      <c r="AF53" s="31"/>
      <c r="AG53" s="31"/>
      <c r="AH53" s="31"/>
      <c r="AI53" s="31"/>
      <c r="AJ53" s="31"/>
      <c r="AK53" s="31"/>
      <c r="AL53" s="31"/>
      <c r="AM53" s="31"/>
      <c r="AN53" s="31"/>
      <c r="AO53" s="31"/>
      <c r="AP53" s="31"/>
      <c r="AQ53" s="31"/>
      <c r="AR53" s="31"/>
      <c r="AS53" s="31"/>
      <c r="AT53" s="31"/>
      <c r="AU53" s="31"/>
    </row>
    <row r="54" spans="4:47" x14ac:dyDescent="0.25">
      <c r="G54" s="37">
        <f t="shared" si="0"/>
        <v>13</v>
      </c>
      <c r="H54" s="37" t="str">
        <f t="shared" si="2"/>
        <v>K45:K57</v>
      </c>
      <c r="I54" s="33" t="s">
        <v>162</v>
      </c>
      <c r="J54" s="42" t="s">
        <v>120</v>
      </c>
      <c r="K54" s="33" t="s">
        <v>213</v>
      </c>
      <c r="L54" s="42" t="s">
        <v>54</v>
      </c>
      <c r="M54" s="42" t="s">
        <v>304</v>
      </c>
      <c r="N54" s="43" t="str">
        <f t="shared" si="1"/>
        <v>referenceLine|show</v>
      </c>
      <c r="O54" s="31" t="s">
        <v>302</v>
      </c>
      <c r="P54" s="31" t="s">
        <v>302</v>
      </c>
      <c r="Q54" s="31" t="s">
        <v>302</v>
      </c>
      <c r="R54" s="31" t="s">
        <v>302</v>
      </c>
      <c r="S54" s="31" t="s">
        <v>302</v>
      </c>
      <c r="T54" s="31" t="s">
        <v>302</v>
      </c>
      <c r="U54" s="31" t="s">
        <v>302</v>
      </c>
      <c r="V54" s="31" t="s">
        <v>302</v>
      </c>
      <c r="W54" s="31" t="s">
        <v>302</v>
      </c>
      <c r="X54" s="31" t="s">
        <v>302</v>
      </c>
      <c r="Y54" s="31" t="s">
        <v>302</v>
      </c>
      <c r="Z54" s="31" t="s">
        <v>302</v>
      </c>
      <c r="AA54" s="31" t="s">
        <v>302</v>
      </c>
      <c r="AB54" s="31" t="s">
        <v>302</v>
      </c>
      <c r="AC54" s="31"/>
      <c r="AD54" s="31"/>
      <c r="AE54" s="31"/>
      <c r="AF54" s="31"/>
      <c r="AG54" s="31"/>
      <c r="AH54" s="31"/>
      <c r="AI54" s="31"/>
      <c r="AJ54" s="31"/>
      <c r="AK54" s="31"/>
      <c r="AL54" s="31"/>
      <c r="AM54" s="31"/>
      <c r="AN54" s="31"/>
      <c r="AO54" s="31"/>
      <c r="AP54" s="31"/>
      <c r="AQ54" s="31"/>
      <c r="AR54" s="31"/>
      <c r="AS54" s="31"/>
      <c r="AT54" s="31"/>
      <c r="AU54" s="31"/>
    </row>
    <row r="55" spans="4:47" x14ac:dyDescent="0.25">
      <c r="G55" s="37">
        <f t="shared" si="0"/>
        <v>13</v>
      </c>
      <c r="H55" s="37" t="str">
        <f t="shared" si="2"/>
        <v>K45:K57</v>
      </c>
      <c r="I55" s="33" t="s">
        <v>162</v>
      </c>
      <c r="J55" s="42" t="s">
        <v>120</v>
      </c>
      <c r="K55" s="33" t="s">
        <v>32</v>
      </c>
      <c r="L55" s="42" t="s">
        <v>208</v>
      </c>
      <c r="M55" s="42" t="s">
        <v>310</v>
      </c>
      <c r="N55" s="43" t="str">
        <f t="shared" si="1"/>
        <v>referenceLine|transparency</v>
      </c>
      <c r="O55" s="31" t="s">
        <v>302</v>
      </c>
      <c r="P55" s="31" t="s">
        <v>302</v>
      </c>
      <c r="Q55" s="31" t="s">
        <v>302</v>
      </c>
      <c r="R55" s="31" t="s">
        <v>302</v>
      </c>
      <c r="S55" s="31" t="s">
        <v>302</v>
      </c>
      <c r="T55" s="31" t="s">
        <v>302</v>
      </c>
      <c r="U55" s="31" t="s">
        <v>302</v>
      </c>
      <c r="V55" s="31" t="s">
        <v>302</v>
      </c>
      <c r="W55" s="31" t="s">
        <v>302</v>
      </c>
      <c r="X55" s="31" t="s">
        <v>302</v>
      </c>
      <c r="Y55" s="31" t="s">
        <v>302</v>
      </c>
      <c r="Z55" s="31" t="s">
        <v>302</v>
      </c>
      <c r="AA55" s="31" t="s">
        <v>302</v>
      </c>
      <c r="AB55" s="31" t="s">
        <v>302</v>
      </c>
      <c r="AC55" s="31"/>
      <c r="AD55" s="31"/>
      <c r="AE55" s="31"/>
      <c r="AF55" s="31"/>
      <c r="AG55" s="31"/>
      <c r="AH55" s="31"/>
      <c r="AI55" s="31"/>
      <c r="AJ55" s="31"/>
      <c r="AK55" s="31"/>
      <c r="AL55" s="31"/>
      <c r="AM55" s="31"/>
      <c r="AN55" s="31"/>
      <c r="AO55" s="31"/>
      <c r="AP55" s="31"/>
      <c r="AQ55" s="31"/>
      <c r="AR55" s="31"/>
      <c r="AS55" s="31"/>
      <c r="AT55" s="31"/>
      <c r="AU55" s="31"/>
    </row>
    <row r="56" spans="4:47" x14ac:dyDescent="0.25">
      <c r="G56" s="37">
        <f t="shared" si="0"/>
        <v>13</v>
      </c>
      <c r="H56" s="37" t="str">
        <f t="shared" si="2"/>
        <v>K45:K57</v>
      </c>
      <c r="I56" s="33" t="s">
        <v>162</v>
      </c>
      <c r="J56" s="42" t="s">
        <v>120</v>
      </c>
      <c r="K56" s="33" t="s">
        <v>232</v>
      </c>
      <c r="L56" s="42" t="s">
        <v>221</v>
      </c>
      <c r="M56" s="42" t="s">
        <v>310</v>
      </c>
      <c r="N56" s="43" t="str">
        <f t="shared" si="1"/>
        <v>referenceLine|value</v>
      </c>
      <c r="O56" s="31" t="s">
        <v>302</v>
      </c>
      <c r="P56" s="31" t="s">
        <v>302</v>
      </c>
      <c r="Q56" s="31" t="s">
        <v>302</v>
      </c>
      <c r="R56" s="31" t="s">
        <v>302</v>
      </c>
      <c r="S56" s="31" t="s">
        <v>302</v>
      </c>
      <c r="T56" s="31" t="s">
        <v>302</v>
      </c>
      <c r="U56" s="31" t="s">
        <v>302</v>
      </c>
      <c r="V56" s="31" t="s">
        <v>302</v>
      </c>
      <c r="W56" s="31" t="s">
        <v>302</v>
      </c>
      <c r="X56" s="31" t="s">
        <v>302</v>
      </c>
      <c r="Y56" s="31" t="s">
        <v>302</v>
      </c>
      <c r="Z56" s="31" t="s">
        <v>302</v>
      </c>
      <c r="AA56" s="31" t="s">
        <v>302</v>
      </c>
      <c r="AB56" s="31" t="s">
        <v>302</v>
      </c>
      <c r="AC56" s="31"/>
      <c r="AD56" s="31"/>
      <c r="AE56" s="31"/>
      <c r="AF56" s="31"/>
      <c r="AG56" s="31"/>
      <c r="AH56" s="31"/>
      <c r="AI56" s="31"/>
      <c r="AJ56" s="31"/>
      <c r="AK56" s="31"/>
      <c r="AL56" s="31"/>
      <c r="AM56" s="31"/>
      <c r="AN56" s="31"/>
      <c r="AO56" s="31"/>
      <c r="AP56" s="31"/>
      <c r="AQ56" s="31"/>
      <c r="AR56" s="31"/>
      <c r="AS56" s="31"/>
      <c r="AT56" s="31"/>
      <c r="AU56" s="31"/>
    </row>
    <row r="57" spans="4:47" x14ac:dyDescent="0.25">
      <c r="G57" s="37">
        <f t="shared" si="0"/>
        <v>13</v>
      </c>
      <c r="H57" s="37" t="str">
        <f t="shared" si="2"/>
        <v>K45:K57</v>
      </c>
      <c r="I57" s="33" t="s">
        <v>162</v>
      </c>
      <c r="J57" s="42" t="s">
        <v>120</v>
      </c>
      <c r="K57" s="33" t="s">
        <v>457</v>
      </c>
      <c r="L57" s="42" t="s">
        <v>217</v>
      </c>
      <c r="M57" s="42" t="s">
        <v>305</v>
      </c>
      <c r="N57" s="43" t="str">
        <f t="shared" si="1"/>
        <v>referenceLine|dataLabelVerticalPosition</v>
      </c>
      <c r="O57" s="31"/>
      <c r="P57" s="31"/>
      <c r="Q57" s="31"/>
      <c r="R57" s="31"/>
      <c r="S57" s="31"/>
      <c r="T57" s="31"/>
      <c r="U57" s="31"/>
      <c r="V57" s="31"/>
      <c r="W57" s="31"/>
      <c r="X57" s="31"/>
      <c r="Y57" s="31"/>
      <c r="Z57" s="31"/>
      <c r="AA57" s="31"/>
      <c r="AB57" s="31"/>
      <c r="AC57" s="31"/>
      <c r="AD57" s="31"/>
      <c r="AE57" s="31"/>
      <c r="AF57" s="31"/>
      <c r="AG57" s="31"/>
      <c r="AH57" s="31"/>
      <c r="AI57" s="31"/>
      <c r="AJ57" s="31"/>
      <c r="AK57" s="31"/>
      <c r="AL57" s="31"/>
      <c r="AM57" s="31"/>
      <c r="AN57" s="31"/>
      <c r="AO57" s="31"/>
      <c r="AP57" s="31"/>
      <c r="AQ57" s="31"/>
      <c r="AR57" s="31"/>
      <c r="AS57" s="31"/>
      <c r="AT57" s="31"/>
      <c r="AU57" s="31"/>
    </row>
    <row r="58" spans="4:47" x14ac:dyDescent="0.25">
      <c r="G58" s="37">
        <f t="shared" si="0"/>
        <v>5</v>
      </c>
      <c r="H58" s="37" t="str">
        <f t="shared" si="2"/>
        <v>K58:K62</v>
      </c>
      <c r="I58" s="33" t="s">
        <v>159</v>
      </c>
      <c r="J58" s="42" t="s">
        <v>116</v>
      </c>
      <c r="K58" s="33" t="s">
        <v>35</v>
      </c>
      <c r="L58" s="42" t="s">
        <v>209</v>
      </c>
      <c r="M58" s="42" t="s">
        <v>104</v>
      </c>
      <c r="N58" s="43" t="str">
        <f t="shared" si="1"/>
        <v>percentBarLabel|cardBackground</v>
      </c>
      <c r="O58" s="31" t="s">
        <v>302</v>
      </c>
      <c r="P58" s="31" t="s">
        <v>302</v>
      </c>
      <c r="Q58" s="31" t="s">
        <v>302</v>
      </c>
      <c r="R58" s="31" t="s">
        <v>302</v>
      </c>
      <c r="S58" s="31" t="s">
        <v>302</v>
      </c>
      <c r="T58" s="31" t="s">
        <v>302</v>
      </c>
      <c r="U58" s="31" t="s">
        <v>302</v>
      </c>
      <c r="V58" s="31" t="s">
        <v>302</v>
      </c>
      <c r="W58" s="31" t="s">
        <v>302</v>
      </c>
      <c r="X58" s="31" t="s">
        <v>302</v>
      </c>
      <c r="Y58" s="31" t="s">
        <v>302</v>
      </c>
      <c r="Z58" s="31" t="s">
        <v>302</v>
      </c>
      <c r="AA58" s="31" t="s">
        <v>302</v>
      </c>
      <c r="AB58" s="31" t="s">
        <v>302</v>
      </c>
      <c r="AC58" s="31"/>
      <c r="AD58" s="31"/>
      <c r="AE58" s="31"/>
      <c r="AF58" s="31"/>
      <c r="AG58" s="31"/>
      <c r="AH58" s="31"/>
      <c r="AI58" s="31"/>
      <c r="AJ58" s="31"/>
      <c r="AK58" s="31"/>
      <c r="AL58" s="31"/>
      <c r="AM58" s="31"/>
      <c r="AN58" s="31"/>
      <c r="AO58" s="31"/>
      <c r="AP58" s="31"/>
      <c r="AQ58" s="31"/>
      <c r="AR58" s="31"/>
      <c r="AS58" s="31"/>
      <c r="AT58" s="31"/>
      <c r="AU58" s="31"/>
    </row>
    <row r="59" spans="4:47" x14ac:dyDescent="0.25">
      <c r="G59" s="37">
        <f t="shared" si="0"/>
        <v>5</v>
      </c>
      <c r="H59" s="37" t="str">
        <f t="shared" si="2"/>
        <v>K58:K62</v>
      </c>
      <c r="I59" s="33" t="s">
        <v>159</v>
      </c>
      <c r="J59" s="42" t="s">
        <v>116</v>
      </c>
      <c r="K59" s="33" t="s">
        <v>15</v>
      </c>
      <c r="L59" s="42" t="s">
        <v>315</v>
      </c>
      <c r="M59" s="42" t="s">
        <v>104</v>
      </c>
      <c r="N59" s="43" t="str">
        <f t="shared" si="1"/>
        <v>percentBarLabel|color</v>
      </c>
      <c r="O59" s="31" t="s">
        <v>302</v>
      </c>
      <c r="P59" s="31" t="s">
        <v>302</v>
      </c>
      <c r="Q59" s="31" t="s">
        <v>302</v>
      </c>
      <c r="R59" s="31" t="s">
        <v>302</v>
      </c>
      <c r="S59" s="31" t="s">
        <v>302</v>
      </c>
      <c r="T59" s="31" t="s">
        <v>302</v>
      </c>
      <c r="U59" s="31" t="s">
        <v>302</v>
      </c>
      <c r="V59" s="31" t="s">
        <v>302</v>
      </c>
      <c r="W59" s="31" t="s">
        <v>302</v>
      </c>
      <c r="X59" s="31" t="s">
        <v>302</v>
      </c>
      <c r="Y59" s="31" t="s">
        <v>302</v>
      </c>
      <c r="Z59" s="31" t="s">
        <v>302</v>
      </c>
      <c r="AA59" s="31" t="s">
        <v>302</v>
      </c>
      <c r="AB59" s="31" t="s">
        <v>302</v>
      </c>
      <c r="AC59" s="31"/>
      <c r="AD59" s="31"/>
      <c r="AE59" s="31"/>
      <c r="AF59" s="31"/>
      <c r="AG59" s="31"/>
      <c r="AH59" s="31"/>
      <c r="AI59" s="31"/>
      <c r="AJ59" s="31"/>
      <c r="AK59" s="31"/>
      <c r="AL59" s="31"/>
      <c r="AM59" s="31"/>
      <c r="AN59" s="31"/>
      <c r="AO59" s="31"/>
      <c r="AP59" s="31"/>
      <c r="AQ59" s="31"/>
      <c r="AR59" s="31"/>
      <c r="AS59" s="31"/>
      <c r="AT59" s="31"/>
      <c r="AU59" s="31"/>
    </row>
    <row r="60" spans="4:47" x14ac:dyDescent="0.25">
      <c r="G60" s="37">
        <f t="shared" si="0"/>
        <v>5</v>
      </c>
      <c r="H60" s="37" t="str">
        <f t="shared" si="2"/>
        <v>K58:K62</v>
      </c>
      <c r="I60" s="33" t="s">
        <v>159</v>
      </c>
      <c r="J60" s="42" t="s">
        <v>116</v>
      </c>
      <c r="K60" s="33" t="s">
        <v>17</v>
      </c>
      <c r="L60" s="42" t="s">
        <v>5</v>
      </c>
      <c r="M60" s="42" t="s">
        <v>307</v>
      </c>
      <c r="N60" s="43" t="str">
        <f t="shared" si="1"/>
        <v>percentBarLabel|fontFamily</v>
      </c>
      <c r="O60" s="31" t="s">
        <v>302</v>
      </c>
      <c r="P60" s="31" t="s">
        <v>302</v>
      </c>
      <c r="Q60" s="31" t="s">
        <v>302</v>
      </c>
      <c r="R60" s="31" t="s">
        <v>302</v>
      </c>
      <c r="S60" s="31" t="s">
        <v>302</v>
      </c>
      <c r="T60" s="31" t="s">
        <v>302</v>
      </c>
      <c r="U60" s="31" t="s">
        <v>302</v>
      </c>
      <c r="V60" s="31" t="s">
        <v>302</v>
      </c>
      <c r="W60" s="31" t="s">
        <v>302</v>
      </c>
      <c r="X60" s="31" t="s">
        <v>302</v>
      </c>
      <c r="Y60" s="31" t="s">
        <v>302</v>
      </c>
      <c r="Z60" s="31" t="s">
        <v>302</v>
      </c>
      <c r="AA60" s="31" t="s">
        <v>302</v>
      </c>
      <c r="AB60" s="31" t="s">
        <v>302</v>
      </c>
      <c r="AC60" s="31"/>
      <c r="AD60" s="31"/>
      <c r="AE60" s="31"/>
      <c r="AF60" s="31"/>
      <c r="AG60" s="31"/>
      <c r="AH60" s="31"/>
      <c r="AI60" s="31"/>
      <c r="AJ60" s="31"/>
      <c r="AK60" s="31"/>
      <c r="AL60" s="31"/>
      <c r="AM60" s="31"/>
      <c r="AN60" s="31"/>
      <c r="AO60" s="31"/>
      <c r="AP60" s="31"/>
      <c r="AQ60" s="31"/>
      <c r="AR60" s="31"/>
      <c r="AS60" s="31"/>
      <c r="AT60" s="31"/>
      <c r="AU60" s="31"/>
    </row>
    <row r="61" spans="4:47" x14ac:dyDescent="0.25">
      <c r="G61" s="37">
        <f t="shared" si="0"/>
        <v>5</v>
      </c>
      <c r="H61" s="37" t="str">
        <f t="shared" si="2"/>
        <v>K58:K62</v>
      </c>
      <c r="I61" s="33" t="s">
        <v>159</v>
      </c>
      <c r="J61" s="42" t="s">
        <v>116</v>
      </c>
      <c r="K61" s="33" t="s">
        <v>213</v>
      </c>
      <c r="L61" s="42" t="s">
        <v>54</v>
      </c>
      <c r="M61" s="42" t="s">
        <v>304</v>
      </c>
      <c r="N61" s="43" t="str">
        <f t="shared" si="1"/>
        <v>percentBarLabel|show</v>
      </c>
      <c r="O61" s="31" t="s">
        <v>302</v>
      </c>
      <c r="P61" s="31" t="s">
        <v>302</v>
      </c>
      <c r="Q61" s="31" t="s">
        <v>302</v>
      </c>
      <c r="R61" s="31" t="s">
        <v>302</v>
      </c>
      <c r="S61" s="31" t="s">
        <v>302</v>
      </c>
      <c r="T61" s="31" t="s">
        <v>302</v>
      </c>
      <c r="U61" s="31" t="s">
        <v>302</v>
      </c>
      <c r="V61" s="31" t="s">
        <v>302</v>
      </c>
      <c r="W61" s="31" t="s">
        <v>302</v>
      </c>
      <c r="X61" s="31" t="s">
        <v>302</v>
      </c>
      <c r="Y61" s="31" t="s">
        <v>302</v>
      </c>
      <c r="Z61" s="31" t="s">
        <v>302</v>
      </c>
      <c r="AA61" s="31" t="s">
        <v>302</v>
      </c>
      <c r="AB61" s="31" t="s">
        <v>302</v>
      </c>
      <c r="AC61" s="31"/>
      <c r="AD61" s="31"/>
      <c r="AE61" s="31"/>
      <c r="AF61" s="31"/>
      <c r="AG61" s="31"/>
      <c r="AH61" s="31"/>
      <c r="AI61" s="31"/>
      <c r="AJ61" s="31"/>
      <c r="AK61" s="31"/>
      <c r="AL61" s="31"/>
      <c r="AM61" s="31"/>
      <c r="AN61" s="31"/>
      <c r="AO61" s="31"/>
      <c r="AP61" s="31"/>
      <c r="AQ61" s="31"/>
      <c r="AR61" s="31"/>
      <c r="AS61" s="31"/>
      <c r="AT61" s="31"/>
      <c r="AU61" s="31"/>
    </row>
    <row r="62" spans="4:47" x14ac:dyDescent="0.25">
      <c r="G62" s="37">
        <f t="shared" si="0"/>
        <v>5</v>
      </c>
      <c r="H62" s="37" t="str">
        <f t="shared" si="2"/>
        <v>K58:K62</v>
      </c>
      <c r="I62" s="33" t="s">
        <v>159</v>
      </c>
      <c r="J62" s="42" t="s">
        <v>116</v>
      </c>
      <c r="K62" s="33" t="s">
        <v>16</v>
      </c>
      <c r="L62" s="42" t="s">
        <v>4</v>
      </c>
      <c r="M62" s="42" t="s">
        <v>307</v>
      </c>
      <c r="N62" s="43" t="str">
        <f t="shared" si="1"/>
        <v>percentBarLabel|fontSize</v>
      </c>
      <c r="O62" s="31" t="s">
        <v>302</v>
      </c>
      <c r="P62" s="31" t="s">
        <v>302</v>
      </c>
      <c r="Q62" s="31" t="s">
        <v>302</v>
      </c>
      <c r="R62" s="31" t="s">
        <v>302</v>
      </c>
      <c r="S62" s="31" t="s">
        <v>302</v>
      </c>
      <c r="T62" s="31" t="s">
        <v>302</v>
      </c>
      <c r="U62" s="31" t="s">
        <v>302</v>
      </c>
      <c r="V62" s="31" t="s">
        <v>302</v>
      </c>
      <c r="W62" s="31" t="s">
        <v>302</v>
      </c>
      <c r="X62" s="31" t="s">
        <v>302</v>
      </c>
      <c r="Y62" s="31" t="s">
        <v>302</v>
      </c>
      <c r="Z62" s="31" t="s">
        <v>302</v>
      </c>
      <c r="AA62" s="31" t="s">
        <v>302</v>
      </c>
      <c r="AB62" s="31" t="s">
        <v>302</v>
      </c>
      <c r="AC62" s="31"/>
      <c r="AD62" s="31"/>
      <c r="AE62" s="31"/>
      <c r="AF62" s="31"/>
      <c r="AG62" s="31"/>
      <c r="AH62" s="31"/>
      <c r="AI62" s="31"/>
      <c r="AJ62" s="31"/>
      <c r="AK62" s="31"/>
      <c r="AL62" s="31"/>
      <c r="AM62" s="31"/>
      <c r="AN62" s="31"/>
      <c r="AO62" s="31"/>
      <c r="AP62" s="31"/>
      <c r="AQ62" s="31"/>
      <c r="AR62" s="31"/>
      <c r="AS62" s="31"/>
      <c r="AT62" s="31"/>
      <c r="AU62" s="31"/>
    </row>
    <row r="63" spans="4:47" x14ac:dyDescent="0.25">
      <c r="G63" s="37">
        <f t="shared" si="0"/>
        <v>18</v>
      </c>
      <c r="H63" s="37" t="str">
        <f t="shared" si="2"/>
        <v>K63:K80</v>
      </c>
      <c r="I63" s="33" t="s">
        <v>147</v>
      </c>
      <c r="J63" s="42" t="s">
        <v>111</v>
      </c>
      <c r="K63" s="33" t="s">
        <v>445</v>
      </c>
      <c r="L63" s="42" t="s">
        <v>341</v>
      </c>
      <c r="M63" s="42" t="s">
        <v>310</v>
      </c>
      <c r="N63" s="43" t="str">
        <f t="shared" si="1"/>
        <v>labels|percentageLabelPrecision</v>
      </c>
      <c r="O63" s="31" t="s">
        <v>302</v>
      </c>
      <c r="P63" s="31" t="s">
        <v>302</v>
      </c>
      <c r="Q63" s="31" t="s">
        <v>302</v>
      </c>
      <c r="R63" s="31" t="s">
        <v>302</v>
      </c>
      <c r="S63" s="31" t="s">
        <v>302</v>
      </c>
      <c r="T63" s="31" t="s">
        <v>302</v>
      </c>
      <c r="U63" s="31" t="s">
        <v>302</v>
      </c>
      <c r="V63" s="31" t="s">
        <v>302</v>
      </c>
      <c r="W63" s="31" t="s">
        <v>302</v>
      </c>
      <c r="X63" s="31" t="s">
        <v>302</v>
      </c>
      <c r="Y63" s="31" t="s">
        <v>302</v>
      </c>
      <c r="Z63" s="31" t="s">
        <v>302</v>
      </c>
      <c r="AA63" s="31" t="s">
        <v>302</v>
      </c>
      <c r="AB63" s="31" t="s">
        <v>302</v>
      </c>
      <c r="AC63" s="31"/>
      <c r="AD63" s="31"/>
      <c r="AE63" s="31"/>
      <c r="AF63" s="31"/>
      <c r="AG63" s="31"/>
      <c r="AH63" s="31"/>
      <c r="AI63" s="31"/>
      <c r="AJ63" s="31"/>
      <c r="AK63" s="31"/>
      <c r="AL63" s="31"/>
      <c r="AM63" s="31"/>
      <c r="AN63" s="31"/>
      <c r="AO63" s="31"/>
      <c r="AP63" s="31"/>
      <c r="AQ63" s="31"/>
      <c r="AR63" s="31"/>
      <c r="AS63" s="31"/>
      <c r="AT63" s="31"/>
      <c r="AU63" s="31"/>
    </row>
    <row r="64" spans="4:47" x14ac:dyDescent="0.25">
      <c r="G64" s="37">
        <f t="shared" si="0"/>
        <v>18</v>
      </c>
      <c r="H64" s="37" t="str">
        <f t="shared" si="2"/>
        <v>K63:K80</v>
      </c>
      <c r="I64" s="33" t="s">
        <v>147</v>
      </c>
      <c r="J64" s="42" t="s">
        <v>111</v>
      </c>
      <c r="K64" s="33" t="s">
        <v>15</v>
      </c>
      <c r="L64" s="42" t="s">
        <v>315</v>
      </c>
      <c r="M64" s="42" t="s">
        <v>104</v>
      </c>
      <c r="N64" s="43" t="str">
        <f t="shared" si="1"/>
        <v>labels|color</v>
      </c>
      <c r="O64" s="31" t="s">
        <v>302</v>
      </c>
      <c r="P64" s="31" t="s">
        <v>302</v>
      </c>
      <c r="Q64" s="31" t="s">
        <v>302</v>
      </c>
      <c r="R64" s="31" t="s">
        <v>302</v>
      </c>
      <c r="S64" s="31" t="s">
        <v>302</v>
      </c>
      <c r="T64" s="31" t="s">
        <v>302</v>
      </c>
      <c r="U64" s="31" t="s">
        <v>302</v>
      </c>
      <c r="V64" s="31" t="s">
        <v>302</v>
      </c>
      <c r="W64" s="31" t="s">
        <v>302</v>
      </c>
      <c r="X64" s="31" t="s">
        <v>302</v>
      </c>
      <c r="Y64" s="31" t="s">
        <v>302</v>
      </c>
      <c r="Z64" s="31" t="s">
        <v>302</v>
      </c>
      <c r="AA64" s="31" t="s">
        <v>302</v>
      </c>
      <c r="AB64" s="31" t="s">
        <v>302</v>
      </c>
      <c r="AC64" s="31"/>
      <c r="AD64" s="31"/>
      <c r="AE64" s="31"/>
      <c r="AF64" s="31"/>
      <c r="AG64" s="31"/>
      <c r="AH64" s="31"/>
      <c r="AI64" s="31"/>
      <c r="AJ64" s="31"/>
      <c r="AK64" s="31"/>
      <c r="AL64" s="31"/>
      <c r="AM64" s="31"/>
      <c r="AN64" s="31"/>
      <c r="AO64" s="31"/>
      <c r="AP64" s="31"/>
      <c r="AQ64" s="31"/>
      <c r="AR64" s="31"/>
      <c r="AS64" s="31"/>
      <c r="AT64" s="31"/>
      <c r="AU64" s="31"/>
    </row>
    <row r="65" spans="7:47" x14ac:dyDescent="0.25">
      <c r="G65" s="37">
        <f t="shared" si="0"/>
        <v>18</v>
      </c>
      <c r="H65" s="37" t="str">
        <f t="shared" si="2"/>
        <v>K63:K80</v>
      </c>
      <c r="I65" s="33" t="s">
        <v>147</v>
      </c>
      <c r="J65" s="42" t="s">
        <v>103</v>
      </c>
      <c r="K65" s="33" t="s">
        <v>15</v>
      </c>
      <c r="L65" s="42" t="s">
        <v>315</v>
      </c>
      <c r="M65" s="42" t="s">
        <v>104</v>
      </c>
      <c r="N65" s="43" t="str">
        <f t="shared" si="1"/>
        <v>dataLabels|color</v>
      </c>
      <c r="O65" s="31" t="s">
        <v>302</v>
      </c>
      <c r="P65" s="31" t="s">
        <v>302</v>
      </c>
      <c r="Q65" s="31" t="s">
        <v>302</v>
      </c>
      <c r="R65" s="31" t="s">
        <v>302</v>
      </c>
      <c r="S65" s="31" t="s">
        <v>302</v>
      </c>
      <c r="T65" s="31" t="s">
        <v>302</v>
      </c>
      <c r="U65" s="31" t="s">
        <v>302</v>
      </c>
      <c r="V65" s="31" t="s">
        <v>302</v>
      </c>
      <c r="W65" s="31" t="s">
        <v>302</v>
      </c>
      <c r="X65" s="31" t="s">
        <v>302</v>
      </c>
      <c r="Y65" s="31" t="s">
        <v>302</v>
      </c>
      <c r="Z65" s="31" t="s">
        <v>302</v>
      </c>
      <c r="AA65" s="31" t="s">
        <v>302</v>
      </c>
      <c r="AB65" s="31" t="s">
        <v>302</v>
      </c>
      <c r="AC65" s="31"/>
      <c r="AD65" s="31"/>
      <c r="AE65" s="31"/>
      <c r="AF65" s="31"/>
      <c r="AG65" s="31"/>
      <c r="AH65" s="31"/>
      <c r="AI65" s="31"/>
      <c r="AJ65" s="31"/>
      <c r="AK65" s="31"/>
      <c r="AL65" s="31"/>
      <c r="AM65" s="31"/>
      <c r="AN65" s="31"/>
      <c r="AO65" s="31"/>
      <c r="AP65" s="31"/>
      <c r="AQ65" s="31"/>
      <c r="AR65" s="31"/>
      <c r="AS65" s="31"/>
      <c r="AT65" s="31"/>
      <c r="AU65" s="31"/>
    </row>
    <row r="66" spans="7:47" x14ac:dyDescent="0.25">
      <c r="G66" s="37">
        <f t="shared" si="0"/>
        <v>18</v>
      </c>
      <c r="H66" s="37" t="str">
        <f t="shared" si="2"/>
        <v>K63:K80</v>
      </c>
      <c r="I66" s="33" t="s">
        <v>147</v>
      </c>
      <c r="J66" s="42" t="s">
        <v>111</v>
      </c>
      <c r="K66" s="33" t="s">
        <v>443</v>
      </c>
      <c r="L66" s="42" t="s">
        <v>338</v>
      </c>
      <c r="M66" s="42" t="s">
        <v>304</v>
      </c>
      <c r="N66" s="43" t="str">
        <f t="shared" si="1"/>
        <v>labels|showAll</v>
      </c>
      <c r="O66" s="31" t="s">
        <v>302</v>
      </c>
      <c r="P66" s="31" t="s">
        <v>302</v>
      </c>
      <c r="Q66" s="31" t="s">
        <v>302</v>
      </c>
      <c r="R66" s="31" t="s">
        <v>302</v>
      </c>
      <c r="S66" s="31" t="s">
        <v>302</v>
      </c>
      <c r="T66" s="31" t="s">
        <v>302</v>
      </c>
      <c r="U66" s="31" t="s">
        <v>302</v>
      </c>
      <c r="V66" s="31" t="s">
        <v>302</v>
      </c>
      <c r="W66" s="31" t="s">
        <v>302</v>
      </c>
      <c r="X66" s="31" t="s">
        <v>302</v>
      </c>
      <c r="Y66" s="31" t="s">
        <v>302</v>
      </c>
      <c r="Z66" s="31" t="s">
        <v>302</v>
      </c>
      <c r="AA66" s="31" t="s">
        <v>302</v>
      </c>
      <c r="AB66" s="31" t="s">
        <v>302</v>
      </c>
      <c r="AC66" s="31"/>
      <c r="AD66" s="31"/>
      <c r="AE66" s="31"/>
      <c r="AF66" s="31"/>
      <c r="AG66" s="31"/>
      <c r="AH66" s="31"/>
      <c r="AI66" s="31"/>
      <c r="AJ66" s="31"/>
      <c r="AK66" s="31"/>
      <c r="AL66" s="31"/>
      <c r="AM66" s="31"/>
      <c r="AN66" s="31"/>
      <c r="AO66" s="31"/>
      <c r="AP66" s="31"/>
      <c r="AQ66" s="31"/>
      <c r="AR66" s="31"/>
      <c r="AS66" s="31"/>
      <c r="AT66" s="31"/>
      <c r="AU66" s="31"/>
    </row>
    <row r="67" spans="7:47" x14ac:dyDescent="0.25">
      <c r="G67" s="37">
        <f t="shared" si="0"/>
        <v>18</v>
      </c>
      <c r="H67" s="37" t="str">
        <f t="shared" si="2"/>
        <v>K63:K80</v>
      </c>
      <c r="I67" s="33" t="s">
        <v>147</v>
      </c>
      <c r="J67" s="42" t="s">
        <v>111</v>
      </c>
      <c r="K67" s="33" t="s">
        <v>27</v>
      </c>
      <c r="L67" s="42" t="s">
        <v>214</v>
      </c>
      <c r="M67" s="42" t="s">
        <v>307</v>
      </c>
      <c r="N67" s="43" t="str">
        <f t="shared" si="1"/>
        <v>labels|labelDisplayUnits</v>
      </c>
      <c r="O67" s="31" t="s">
        <v>302</v>
      </c>
      <c r="P67" s="31" t="s">
        <v>302</v>
      </c>
      <c r="Q67" s="31" t="s">
        <v>302</v>
      </c>
      <c r="R67" s="31" t="s">
        <v>302</v>
      </c>
      <c r="S67" s="31" t="s">
        <v>302</v>
      </c>
      <c r="T67" s="31" t="s">
        <v>302</v>
      </c>
      <c r="U67" s="31" t="s">
        <v>302</v>
      </c>
      <c r="V67" s="31" t="s">
        <v>302</v>
      </c>
      <c r="W67" s="31" t="s">
        <v>302</v>
      </c>
      <c r="X67" s="31" t="s">
        <v>302</v>
      </c>
      <c r="Y67" s="31" t="s">
        <v>302</v>
      </c>
      <c r="Z67" s="31" t="s">
        <v>302</v>
      </c>
      <c r="AA67" s="31" t="s">
        <v>302</v>
      </c>
      <c r="AB67" s="31" t="s">
        <v>302</v>
      </c>
      <c r="AC67" s="31"/>
      <c r="AD67" s="31"/>
      <c r="AE67" s="31"/>
      <c r="AF67" s="31"/>
      <c r="AG67" s="31"/>
      <c r="AH67" s="31"/>
      <c r="AI67" s="31"/>
      <c r="AJ67" s="31"/>
      <c r="AK67" s="31"/>
      <c r="AL67" s="31"/>
      <c r="AM67" s="31"/>
      <c r="AN67" s="31"/>
      <c r="AO67" s="31"/>
      <c r="AP67" s="31"/>
      <c r="AQ67" s="31"/>
      <c r="AR67" s="31"/>
      <c r="AS67" s="31"/>
      <c r="AT67" s="31"/>
      <c r="AU67" s="31"/>
    </row>
    <row r="68" spans="7:47" x14ac:dyDescent="0.25">
      <c r="G68" s="37">
        <f t="shared" si="0"/>
        <v>18</v>
      </c>
      <c r="H68" s="37" t="str">
        <f t="shared" si="2"/>
        <v>K63:K80</v>
      </c>
      <c r="I68" s="33" t="s">
        <v>147</v>
      </c>
      <c r="J68" s="42" t="s">
        <v>111</v>
      </c>
      <c r="K68" s="33" t="s">
        <v>17</v>
      </c>
      <c r="L68" s="42" t="s">
        <v>5</v>
      </c>
      <c r="M68" s="42" t="s">
        <v>307</v>
      </c>
      <c r="N68" s="43" t="str">
        <f t="shared" si="1"/>
        <v>labels|fontFamily</v>
      </c>
      <c r="O68" s="31" t="s">
        <v>302</v>
      </c>
      <c r="P68" s="31" t="s">
        <v>302</v>
      </c>
      <c r="Q68" s="31" t="s">
        <v>302</v>
      </c>
      <c r="R68" s="31" t="s">
        <v>302</v>
      </c>
      <c r="S68" s="31" t="s">
        <v>302</v>
      </c>
      <c r="T68" s="31" t="s">
        <v>302</v>
      </c>
      <c r="U68" s="31" t="s">
        <v>302</v>
      </c>
      <c r="V68" s="31" t="s">
        <v>302</v>
      </c>
      <c r="W68" s="31" t="s">
        <v>302</v>
      </c>
      <c r="X68" s="31" t="s">
        <v>302</v>
      </c>
      <c r="Y68" s="31" t="s">
        <v>302</v>
      </c>
      <c r="Z68" s="31" t="s">
        <v>302</v>
      </c>
      <c r="AA68" s="31" t="s">
        <v>302</v>
      </c>
      <c r="AB68" s="31" t="s">
        <v>302</v>
      </c>
      <c r="AC68" s="31"/>
      <c r="AD68" s="31"/>
      <c r="AE68" s="31"/>
      <c r="AF68" s="31"/>
      <c r="AG68" s="31"/>
      <c r="AH68" s="31"/>
      <c r="AI68" s="31"/>
      <c r="AJ68" s="31"/>
      <c r="AK68" s="31"/>
      <c r="AL68" s="31"/>
      <c r="AM68" s="31"/>
      <c r="AN68" s="31"/>
      <c r="AO68" s="31"/>
      <c r="AP68" s="31"/>
      <c r="AQ68" s="31"/>
      <c r="AR68" s="31"/>
      <c r="AS68" s="31"/>
      <c r="AT68" s="31"/>
      <c r="AU68" s="31"/>
    </row>
    <row r="69" spans="7:47" x14ac:dyDescent="0.25">
      <c r="G69" s="37">
        <f t="shared" ref="G69:G132" si="3">COUNTIF(I:I,I69)</f>
        <v>18</v>
      </c>
      <c r="H69" s="37" t="str">
        <f t="shared" si="2"/>
        <v>K63:K80</v>
      </c>
      <c r="I69" s="33" t="s">
        <v>147</v>
      </c>
      <c r="J69" s="42" t="s">
        <v>103</v>
      </c>
      <c r="K69" s="33" t="s">
        <v>17</v>
      </c>
      <c r="L69" s="42" t="s">
        <v>5</v>
      </c>
      <c r="M69" s="42" t="s">
        <v>307</v>
      </c>
      <c r="N69" s="43" t="str">
        <f t="shared" ref="N69:N132" si="4">J69&amp;"|"&amp;L69</f>
        <v>dataLabels|fontFamily</v>
      </c>
      <c r="O69" s="31" t="s">
        <v>302</v>
      </c>
      <c r="P69" s="31" t="s">
        <v>302</v>
      </c>
      <c r="Q69" s="31" t="s">
        <v>302</v>
      </c>
      <c r="R69" s="31" t="s">
        <v>302</v>
      </c>
      <c r="S69" s="31" t="s">
        <v>302</v>
      </c>
      <c r="T69" s="31" t="s">
        <v>302</v>
      </c>
      <c r="U69" s="31" t="s">
        <v>302</v>
      </c>
      <c r="V69" s="31" t="s">
        <v>302</v>
      </c>
      <c r="W69" s="31" t="s">
        <v>302</v>
      </c>
      <c r="X69" s="31" t="s">
        <v>302</v>
      </c>
      <c r="Y69" s="31" t="s">
        <v>302</v>
      </c>
      <c r="Z69" s="31" t="s">
        <v>302</v>
      </c>
      <c r="AA69" s="31" t="s">
        <v>302</v>
      </c>
      <c r="AB69" s="31" t="s">
        <v>302</v>
      </c>
      <c r="AC69" s="31"/>
      <c r="AD69" s="31"/>
      <c r="AE69" s="31"/>
      <c r="AF69" s="31"/>
      <c r="AG69" s="31"/>
      <c r="AH69" s="31"/>
      <c r="AI69" s="31"/>
      <c r="AJ69" s="31"/>
      <c r="AK69" s="31"/>
      <c r="AL69" s="31"/>
      <c r="AM69" s="31"/>
      <c r="AN69" s="31"/>
      <c r="AO69" s="31"/>
      <c r="AP69" s="31"/>
      <c r="AQ69" s="31"/>
      <c r="AR69" s="31"/>
      <c r="AS69" s="31"/>
      <c r="AT69" s="31"/>
      <c r="AU69" s="31"/>
    </row>
    <row r="70" spans="7:47" x14ac:dyDescent="0.25">
      <c r="G70" s="37">
        <f t="shared" si="3"/>
        <v>18</v>
      </c>
      <c r="H70" s="37" t="str">
        <f t="shared" ref="H70:H133" si="5">IF(I70=I69,H69,"K"&amp;ROW()&amp;":K"&amp;ROW()+G70-1)</f>
        <v>K63:K80</v>
      </c>
      <c r="I70" s="33" t="s">
        <v>147</v>
      </c>
      <c r="J70" s="42" t="s">
        <v>111</v>
      </c>
      <c r="K70" s="33" t="s">
        <v>444</v>
      </c>
      <c r="L70" s="42" t="s">
        <v>339</v>
      </c>
      <c r="M70" s="42" t="s">
        <v>307</v>
      </c>
      <c r="N70" s="43" t="str">
        <f t="shared" si="4"/>
        <v>labels|labelDensity</v>
      </c>
      <c r="O70" s="31" t="s">
        <v>302</v>
      </c>
      <c r="P70" s="31" t="s">
        <v>302</v>
      </c>
      <c r="Q70" s="31" t="s">
        <v>302</v>
      </c>
      <c r="R70" s="31" t="s">
        <v>302</v>
      </c>
      <c r="S70" s="31" t="s">
        <v>302</v>
      </c>
      <c r="T70" s="31" t="s">
        <v>302</v>
      </c>
      <c r="U70" s="31" t="s">
        <v>302</v>
      </c>
      <c r="V70" s="31" t="s">
        <v>302</v>
      </c>
      <c r="W70" s="31" t="s">
        <v>302</v>
      </c>
      <c r="X70" s="31" t="s">
        <v>302</v>
      </c>
      <c r="Y70" s="31" t="s">
        <v>302</v>
      </c>
      <c r="Z70" s="31" t="s">
        <v>302</v>
      </c>
      <c r="AA70" s="31" t="s">
        <v>302</v>
      </c>
      <c r="AB70" s="31" t="s">
        <v>302</v>
      </c>
      <c r="AC70" s="31"/>
      <c r="AD70" s="31"/>
      <c r="AE70" s="31"/>
      <c r="AF70" s="31"/>
      <c r="AG70" s="31"/>
      <c r="AH70" s="31"/>
      <c r="AI70" s="31"/>
      <c r="AJ70" s="31"/>
      <c r="AK70" s="31"/>
      <c r="AL70" s="31"/>
      <c r="AM70" s="31"/>
      <c r="AN70" s="31"/>
      <c r="AO70" s="31"/>
      <c r="AP70" s="31"/>
      <c r="AQ70" s="31"/>
      <c r="AR70" s="31"/>
      <c r="AS70" s="31"/>
      <c r="AT70" s="31"/>
      <c r="AU70" s="31"/>
    </row>
    <row r="71" spans="7:47" x14ac:dyDescent="0.25">
      <c r="G71" s="37">
        <f t="shared" si="3"/>
        <v>18</v>
      </c>
      <c r="H71" s="37" t="str">
        <f t="shared" si="5"/>
        <v>K63:K80</v>
      </c>
      <c r="I71" s="33" t="s">
        <v>147</v>
      </c>
      <c r="J71" s="42" t="s">
        <v>111</v>
      </c>
      <c r="K71" s="33" t="s">
        <v>446</v>
      </c>
      <c r="L71" s="42" t="s">
        <v>220</v>
      </c>
      <c r="M71" s="42" t="s">
        <v>305</v>
      </c>
      <c r="N71" s="43" t="str">
        <f t="shared" si="4"/>
        <v>labels|labelStyle</v>
      </c>
      <c r="O71" s="31" t="s">
        <v>234</v>
      </c>
      <c r="P71" s="31" t="s">
        <v>235</v>
      </c>
      <c r="Q71" s="31" t="s">
        <v>278</v>
      </c>
      <c r="R71" s="31" t="s">
        <v>279</v>
      </c>
      <c r="S71" s="31" t="s">
        <v>280</v>
      </c>
      <c r="T71" s="31" t="s">
        <v>281</v>
      </c>
      <c r="U71" s="31" t="s">
        <v>282</v>
      </c>
      <c r="V71" s="31"/>
      <c r="W71" s="31"/>
      <c r="X71" s="31"/>
      <c r="Y71" s="31"/>
      <c r="Z71" s="31"/>
      <c r="AA71" s="31"/>
      <c r="AB71" s="31"/>
      <c r="AC71" s="31"/>
      <c r="AD71" s="31"/>
      <c r="AE71" s="31"/>
      <c r="AF71" s="31"/>
      <c r="AG71" s="31"/>
      <c r="AH71" s="31"/>
      <c r="AI71" s="31"/>
      <c r="AJ71" s="31"/>
      <c r="AK71" s="31"/>
      <c r="AL71" s="31"/>
      <c r="AM71" s="31"/>
      <c r="AN71" s="31"/>
      <c r="AO71" s="31"/>
      <c r="AP71" s="31"/>
      <c r="AQ71" s="31"/>
      <c r="AR71" s="31"/>
      <c r="AS71" s="31"/>
      <c r="AT71" s="31"/>
      <c r="AU71" s="31"/>
    </row>
    <row r="72" spans="7:47" x14ac:dyDescent="0.25">
      <c r="G72" s="37">
        <f t="shared" si="3"/>
        <v>18</v>
      </c>
      <c r="H72" s="37" t="str">
        <f t="shared" si="5"/>
        <v>K63:K80</v>
      </c>
      <c r="I72" s="33" t="s">
        <v>147</v>
      </c>
      <c r="J72" s="42" t="s">
        <v>111</v>
      </c>
      <c r="K72" s="33" t="s">
        <v>340</v>
      </c>
      <c r="L72" s="42" t="s">
        <v>218</v>
      </c>
      <c r="M72" s="42" t="s">
        <v>305</v>
      </c>
      <c r="N72" s="43" t="str">
        <f t="shared" si="4"/>
        <v>labels|labelOrientation</v>
      </c>
      <c r="O72" s="31" t="s">
        <v>272</v>
      </c>
      <c r="P72" s="31" t="s">
        <v>273</v>
      </c>
      <c r="Q72" s="31"/>
      <c r="R72" s="31"/>
      <c r="S72" s="31"/>
      <c r="T72" s="31"/>
      <c r="U72" s="31"/>
      <c r="V72" s="31"/>
      <c r="W72" s="31"/>
      <c r="X72" s="31"/>
      <c r="Y72" s="31"/>
      <c r="Z72" s="31"/>
      <c r="AA72" s="31"/>
      <c r="AB72" s="31"/>
      <c r="AC72" s="31"/>
      <c r="AD72" s="31"/>
      <c r="AE72" s="31"/>
      <c r="AF72" s="31"/>
      <c r="AG72" s="31"/>
      <c r="AH72" s="31"/>
      <c r="AI72" s="31"/>
      <c r="AJ72" s="31"/>
      <c r="AK72" s="31"/>
      <c r="AL72" s="31"/>
      <c r="AM72" s="31"/>
      <c r="AN72" s="31"/>
      <c r="AO72" s="31"/>
      <c r="AP72" s="31"/>
      <c r="AQ72" s="31"/>
      <c r="AR72" s="31"/>
      <c r="AS72" s="31"/>
      <c r="AT72" s="31"/>
      <c r="AU72" s="31"/>
    </row>
    <row r="73" spans="7:47" x14ac:dyDescent="0.25">
      <c r="G73" s="37">
        <f t="shared" si="3"/>
        <v>18</v>
      </c>
      <c r="H73" s="37" t="str">
        <f t="shared" si="5"/>
        <v>K63:K80</v>
      </c>
      <c r="I73" s="33" t="s">
        <v>147</v>
      </c>
      <c r="J73" s="42" t="s">
        <v>111</v>
      </c>
      <c r="K73" s="33" t="s">
        <v>13</v>
      </c>
      <c r="L73" s="42" t="s">
        <v>219</v>
      </c>
      <c r="M73" s="42" t="s">
        <v>305</v>
      </c>
      <c r="N73" s="43" t="str">
        <f t="shared" si="4"/>
        <v>labels|labelPosition</v>
      </c>
      <c r="O73" s="31" t="s">
        <v>50</v>
      </c>
      <c r="P73" s="31" t="s">
        <v>274</v>
      </c>
      <c r="Q73" s="31" t="s">
        <v>275</v>
      </c>
      <c r="R73" s="31" t="s">
        <v>276</v>
      </c>
      <c r="S73" s="31" t="s">
        <v>277</v>
      </c>
      <c r="T73" s="31"/>
      <c r="U73" s="31"/>
      <c r="V73" s="31"/>
      <c r="W73" s="31"/>
      <c r="X73" s="31"/>
      <c r="Y73" s="31"/>
      <c r="Z73" s="31"/>
      <c r="AA73" s="31"/>
      <c r="AB73" s="31"/>
      <c r="AC73" s="31"/>
      <c r="AD73" s="31"/>
      <c r="AE73" s="31"/>
      <c r="AF73" s="31"/>
      <c r="AG73" s="31"/>
      <c r="AH73" s="31"/>
      <c r="AI73" s="31"/>
      <c r="AJ73" s="31"/>
      <c r="AK73" s="31"/>
      <c r="AL73" s="31"/>
      <c r="AM73" s="31"/>
      <c r="AN73" s="31"/>
      <c r="AO73" s="31"/>
      <c r="AP73" s="31"/>
      <c r="AQ73" s="31"/>
      <c r="AR73" s="31"/>
      <c r="AS73" s="31"/>
      <c r="AT73" s="31"/>
      <c r="AU73" s="31"/>
    </row>
    <row r="74" spans="7:47" x14ac:dyDescent="0.25">
      <c r="G74" s="37">
        <f t="shared" si="3"/>
        <v>18</v>
      </c>
      <c r="H74" s="37" t="str">
        <f t="shared" si="5"/>
        <v>K63:K80</v>
      </c>
      <c r="I74" s="33" t="s">
        <v>147</v>
      </c>
      <c r="J74" s="42" t="s">
        <v>111</v>
      </c>
      <c r="K74" s="33" t="s">
        <v>213</v>
      </c>
      <c r="L74" s="42" t="s">
        <v>54</v>
      </c>
      <c r="M74" s="42" t="s">
        <v>304</v>
      </c>
      <c r="N74" s="43" t="str">
        <f t="shared" si="4"/>
        <v>labels|show</v>
      </c>
      <c r="O74" s="31" t="s">
        <v>302</v>
      </c>
      <c r="P74" s="31" t="s">
        <v>302</v>
      </c>
      <c r="Q74" s="31" t="s">
        <v>302</v>
      </c>
      <c r="R74" s="31" t="s">
        <v>302</v>
      </c>
      <c r="S74" s="31" t="s">
        <v>302</v>
      </c>
      <c r="T74" s="31" t="s">
        <v>302</v>
      </c>
      <c r="U74" s="31" t="s">
        <v>302</v>
      </c>
      <c r="V74" s="31" t="s">
        <v>302</v>
      </c>
      <c r="W74" s="31" t="s">
        <v>302</v>
      </c>
      <c r="X74" s="31" t="s">
        <v>302</v>
      </c>
      <c r="Y74" s="31" t="s">
        <v>302</v>
      </c>
      <c r="Z74" s="31" t="s">
        <v>302</v>
      </c>
      <c r="AA74" s="31" t="s">
        <v>302</v>
      </c>
      <c r="AB74" s="31" t="s">
        <v>302</v>
      </c>
      <c r="AC74" s="31"/>
      <c r="AD74" s="31"/>
      <c r="AE74" s="31"/>
      <c r="AF74" s="31"/>
      <c r="AG74" s="31"/>
      <c r="AH74" s="31"/>
      <c r="AI74" s="31"/>
      <c r="AJ74" s="31"/>
      <c r="AK74" s="31"/>
      <c r="AL74" s="31"/>
      <c r="AM74" s="31"/>
      <c r="AN74" s="31"/>
      <c r="AO74" s="31"/>
      <c r="AP74" s="31"/>
      <c r="AQ74" s="31"/>
      <c r="AR74" s="31"/>
      <c r="AS74" s="31"/>
      <c r="AT74" s="31"/>
      <c r="AU74" s="31"/>
    </row>
    <row r="75" spans="7:47" x14ac:dyDescent="0.25">
      <c r="G75" s="37">
        <f t="shared" si="3"/>
        <v>18</v>
      </c>
      <c r="H75" s="37" t="str">
        <f t="shared" si="5"/>
        <v>K63:K80</v>
      </c>
      <c r="I75" s="33" t="s">
        <v>147</v>
      </c>
      <c r="J75" s="42" t="s">
        <v>111</v>
      </c>
      <c r="K75" s="33" t="s">
        <v>213</v>
      </c>
      <c r="L75" s="42" t="s">
        <v>337</v>
      </c>
      <c r="M75" s="42" t="s">
        <v>304</v>
      </c>
      <c r="N75" s="43" t="str">
        <f t="shared" si="4"/>
        <v>labels|showSeries</v>
      </c>
      <c r="O75" s="31" t="s">
        <v>302</v>
      </c>
      <c r="P75" s="31" t="s">
        <v>302</v>
      </c>
      <c r="Q75" s="31" t="s">
        <v>302</v>
      </c>
      <c r="R75" s="31" t="s">
        <v>302</v>
      </c>
      <c r="S75" s="31" t="s">
        <v>302</v>
      </c>
      <c r="T75" s="31" t="s">
        <v>302</v>
      </c>
      <c r="U75" s="31" t="s">
        <v>302</v>
      </c>
      <c r="V75" s="31" t="s">
        <v>302</v>
      </c>
      <c r="W75" s="31" t="s">
        <v>302</v>
      </c>
      <c r="X75" s="31" t="s">
        <v>302</v>
      </c>
      <c r="Y75" s="31" t="s">
        <v>302</v>
      </c>
      <c r="Z75" s="31" t="s">
        <v>302</v>
      </c>
      <c r="AA75" s="31" t="s">
        <v>302</v>
      </c>
      <c r="AB75" s="31" t="s">
        <v>302</v>
      </c>
      <c r="AC75" s="31"/>
      <c r="AD75" s="31"/>
      <c r="AE75" s="31"/>
      <c r="AF75" s="31"/>
      <c r="AG75" s="31"/>
      <c r="AH75" s="31"/>
      <c r="AI75" s="31"/>
      <c r="AJ75" s="31"/>
      <c r="AK75" s="31"/>
      <c r="AL75" s="31"/>
      <c r="AM75" s="31"/>
      <c r="AN75" s="31"/>
      <c r="AO75" s="31"/>
      <c r="AP75" s="31"/>
      <c r="AQ75" s="31"/>
      <c r="AR75" s="31"/>
      <c r="AS75" s="31"/>
      <c r="AT75" s="31"/>
      <c r="AU75" s="31"/>
    </row>
    <row r="76" spans="7:47" x14ac:dyDescent="0.25">
      <c r="G76" s="37">
        <f t="shared" si="3"/>
        <v>18</v>
      </c>
      <c r="H76" s="37" t="str">
        <f t="shared" si="5"/>
        <v>K63:K80</v>
      </c>
      <c r="I76" s="33" t="s">
        <v>147</v>
      </c>
      <c r="J76" s="42" t="s">
        <v>103</v>
      </c>
      <c r="K76" s="33" t="s">
        <v>213</v>
      </c>
      <c r="L76" s="42" t="s">
        <v>54</v>
      </c>
      <c r="M76" s="42" t="s">
        <v>304</v>
      </c>
      <c r="N76" s="43" t="str">
        <f t="shared" si="4"/>
        <v>dataLabels|show</v>
      </c>
      <c r="O76" s="31" t="s">
        <v>302</v>
      </c>
      <c r="P76" s="31" t="s">
        <v>302</v>
      </c>
      <c r="Q76" s="31" t="s">
        <v>302</v>
      </c>
      <c r="R76" s="31" t="s">
        <v>302</v>
      </c>
      <c r="S76" s="31" t="s">
        <v>302</v>
      </c>
      <c r="T76" s="31" t="s">
        <v>302</v>
      </c>
      <c r="U76" s="31" t="s">
        <v>302</v>
      </c>
      <c r="V76" s="31" t="s">
        <v>302</v>
      </c>
      <c r="W76" s="31" t="s">
        <v>302</v>
      </c>
      <c r="X76" s="31" t="s">
        <v>302</v>
      </c>
      <c r="Y76" s="31" t="s">
        <v>302</v>
      </c>
      <c r="Z76" s="31" t="s">
        <v>302</v>
      </c>
      <c r="AA76" s="31" t="s">
        <v>302</v>
      </c>
      <c r="AB76" s="31" t="s">
        <v>302</v>
      </c>
      <c r="AC76" s="31"/>
      <c r="AD76" s="31"/>
      <c r="AE76" s="31"/>
      <c r="AF76" s="31"/>
      <c r="AG76" s="31"/>
      <c r="AH76" s="31"/>
      <c r="AI76" s="31"/>
      <c r="AJ76" s="31"/>
      <c r="AK76" s="31"/>
      <c r="AL76" s="31"/>
      <c r="AM76" s="31"/>
      <c r="AN76" s="31"/>
      <c r="AO76" s="31"/>
      <c r="AP76" s="31"/>
      <c r="AQ76" s="31"/>
      <c r="AR76" s="31"/>
      <c r="AS76" s="31"/>
      <c r="AT76" s="31"/>
      <c r="AU76" s="31"/>
    </row>
    <row r="77" spans="7:47" x14ac:dyDescent="0.25">
      <c r="G77" s="37">
        <f t="shared" si="3"/>
        <v>18</v>
      </c>
      <c r="H77" s="37" t="str">
        <f t="shared" si="5"/>
        <v>K63:K80</v>
      </c>
      <c r="I77" s="33" t="s">
        <v>147</v>
      </c>
      <c r="J77" s="42" t="s">
        <v>111</v>
      </c>
      <c r="K77" s="33" t="s">
        <v>442</v>
      </c>
      <c r="L77" s="42" t="s">
        <v>336</v>
      </c>
      <c r="M77" s="42" t="s">
        <v>304</v>
      </c>
      <c r="N77" s="43" t="str">
        <f t="shared" si="4"/>
        <v>labels|showAllDataPoints</v>
      </c>
      <c r="O77" s="31" t="s">
        <v>302</v>
      </c>
      <c r="P77" s="31" t="s">
        <v>302</v>
      </c>
      <c r="Q77" s="31" t="s">
        <v>302</v>
      </c>
      <c r="R77" s="31" t="s">
        <v>302</v>
      </c>
      <c r="S77" s="31" t="s">
        <v>302</v>
      </c>
      <c r="T77" s="31" t="s">
        <v>302</v>
      </c>
      <c r="U77" s="31" t="s">
        <v>302</v>
      </c>
      <c r="V77" s="31" t="s">
        <v>302</v>
      </c>
      <c r="W77" s="31" t="s">
        <v>302</v>
      </c>
      <c r="X77" s="31" t="s">
        <v>302</v>
      </c>
      <c r="Y77" s="31" t="s">
        <v>302</v>
      </c>
      <c r="Z77" s="31" t="s">
        <v>302</v>
      </c>
      <c r="AA77" s="31" t="s">
        <v>302</v>
      </c>
      <c r="AB77" s="31" t="s">
        <v>302</v>
      </c>
      <c r="AC77" s="31"/>
      <c r="AD77" s="31"/>
      <c r="AE77" s="31"/>
      <c r="AF77" s="31"/>
      <c r="AG77" s="31"/>
      <c r="AH77" s="31"/>
      <c r="AI77" s="31"/>
      <c r="AJ77" s="31"/>
      <c r="AK77" s="31"/>
      <c r="AL77" s="31"/>
      <c r="AM77" s="31"/>
      <c r="AN77" s="31"/>
      <c r="AO77" s="31"/>
      <c r="AP77" s="31"/>
      <c r="AQ77" s="31"/>
      <c r="AR77" s="31"/>
      <c r="AS77" s="31"/>
      <c r="AT77" s="31"/>
      <c r="AU77" s="31"/>
    </row>
    <row r="78" spans="7:47" x14ac:dyDescent="0.25">
      <c r="G78" s="37">
        <f t="shared" si="3"/>
        <v>18</v>
      </c>
      <c r="H78" s="37" t="str">
        <f t="shared" si="5"/>
        <v>K63:K80</v>
      </c>
      <c r="I78" s="33" t="s">
        <v>147</v>
      </c>
      <c r="J78" s="42" t="s">
        <v>111</v>
      </c>
      <c r="K78" s="33" t="s">
        <v>16</v>
      </c>
      <c r="L78" s="42" t="s">
        <v>4</v>
      </c>
      <c r="M78" s="42" t="s">
        <v>307</v>
      </c>
      <c r="N78" s="43" t="str">
        <f t="shared" si="4"/>
        <v>labels|fontSize</v>
      </c>
      <c r="O78" s="31" t="s">
        <v>302</v>
      </c>
      <c r="P78" s="31" t="s">
        <v>302</v>
      </c>
      <c r="Q78" s="31" t="s">
        <v>302</v>
      </c>
      <c r="R78" s="31" t="s">
        <v>302</v>
      </c>
      <c r="S78" s="31" t="s">
        <v>302</v>
      </c>
      <c r="T78" s="31" t="s">
        <v>302</v>
      </c>
      <c r="U78" s="31" t="s">
        <v>302</v>
      </c>
      <c r="V78" s="31" t="s">
        <v>302</v>
      </c>
      <c r="W78" s="31" t="s">
        <v>302</v>
      </c>
      <c r="X78" s="31" t="s">
        <v>302</v>
      </c>
      <c r="Y78" s="31" t="s">
        <v>302</v>
      </c>
      <c r="Z78" s="31" t="s">
        <v>302</v>
      </c>
      <c r="AA78" s="31" t="s">
        <v>302</v>
      </c>
      <c r="AB78" s="31" t="s">
        <v>302</v>
      </c>
      <c r="AC78" s="31"/>
      <c r="AD78" s="31"/>
      <c r="AE78" s="31"/>
      <c r="AF78" s="31"/>
      <c r="AG78" s="31"/>
      <c r="AH78" s="31"/>
      <c r="AI78" s="31"/>
      <c r="AJ78" s="31"/>
      <c r="AK78" s="31"/>
      <c r="AL78" s="31"/>
      <c r="AM78" s="31"/>
      <c r="AN78" s="31"/>
      <c r="AO78" s="31"/>
      <c r="AP78" s="31"/>
      <c r="AQ78" s="31"/>
      <c r="AR78" s="31"/>
      <c r="AS78" s="31"/>
      <c r="AT78" s="31"/>
      <c r="AU78" s="31"/>
    </row>
    <row r="79" spans="7:47" x14ac:dyDescent="0.25">
      <c r="G79" s="37">
        <f t="shared" si="3"/>
        <v>18</v>
      </c>
      <c r="H79" s="37" t="str">
        <f t="shared" si="5"/>
        <v>K63:K80</v>
      </c>
      <c r="I79" s="33" t="s">
        <v>147</v>
      </c>
      <c r="J79" s="42" t="s">
        <v>103</v>
      </c>
      <c r="K79" s="33" t="s">
        <v>16</v>
      </c>
      <c r="L79" s="42" t="s">
        <v>4</v>
      </c>
      <c r="M79" s="42" t="s">
        <v>307</v>
      </c>
      <c r="N79" s="43" t="str">
        <f t="shared" si="4"/>
        <v>dataLabels|fontSize</v>
      </c>
      <c r="O79" s="31" t="s">
        <v>302</v>
      </c>
      <c r="P79" s="31" t="s">
        <v>302</v>
      </c>
      <c r="Q79" s="31" t="s">
        <v>302</v>
      </c>
      <c r="R79" s="31" t="s">
        <v>302</v>
      </c>
      <c r="S79" s="31" t="s">
        <v>302</v>
      </c>
      <c r="T79" s="31" t="s">
        <v>302</v>
      </c>
      <c r="U79" s="31" t="s">
        <v>302</v>
      </c>
      <c r="V79" s="31" t="s">
        <v>302</v>
      </c>
      <c r="W79" s="31" t="s">
        <v>302</v>
      </c>
      <c r="X79" s="31" t="s">
        <v>302</v>
      </c>
      <c r="Y79" s="31" t="s">
        <v>302</v>
      </c>
      <c r="Z79" s="31" t="s">
        <v>302</v>
      </c>
      <c r="AA79" s="31" t="s">
        <v>302</v>
      </c>
      <c r="AB79" s="31" t="s">
        <v>302</v>
      </c>
      <c r="AC79" s="31"/>
      <c r="AD79" s="31"/>
      <c r="AE79" s="31"/>
      <c r="AF79" s="31"/>
      <c r="AG79" s="31"/>
      <c r="AH79" s="31"/>
      <c r="AI79" s="31"/>
      <c r="AJ79" s="31"/>
      <c r="AK79" s="31"/>
      <c r="AL79" s="31"/>
      <c r="AM79" s="31"/>
      <c r="AN79" s="31"/>
      <c r="AO79" s="31"/>
      <c r="AP79" s="31"/>
      <c r="AQ79" s="31"/>
      <c r="AR79" s="31"/>
      <c r="AS79" s="31"/>
      <c r="AT79" s="31"/>
      <c r="AU79" s="31"/>
    </row>
    <row r="80" spans="7:47" x14ac:dyDescent="0.25">
      <c r="G80" s="37">
        <f t="shared" si="3"/>
        <v>18</v>
      </c>
      <c r="H80" s="37" t="str">
        <f t="shared" si="5"/>
        <v>K63:K80</v>
      </c>
      <c r="I80" s="33" t="s">
        <v>147</v>
      </c>
      <c r="J80" s="42" t="s">
        <v>111</v>
      </c>
      <c r="K80" s="33" t="s">
        <v>28</v>
      </c>
      <c r="L80" s="42" t="s">
        <v>312</v>
      </c>
      <c r="M80" s="42" t="s">
        <v>310</v>
      </c>
      <c r="N80" s="43" t="str">
        <f t="shared" si="4"/>
        <v>labels|labelPrecision</v>
      </c>
      <c r="O80" s="31" t="s">
        <v>302</v>
      </c>
      <c r="P80" s="31" t="s">
        <v>302</v>
      </c>
      <c r="Q80" s="31" t="s">
        <v>302</v>
      </c>
      <c r="R80" s="31" t="s">
        <v>302</v>
      </c>
      <c r="S80" s="31" t="s">
        <v>302</v>
      </c>
      <c r="T80" s="31" t="s">
        <v>302</v>
      </c>
      <c r="U80" s="31" t="s">
        <v>302</v>
      </c>
      <c r="V80" s="31" t="s">
        <v>302</v>
      </c>
      <c r="W80" s="31" t="s">
        <v>302</v>
      </c>
      <c r="X80" s="31" t="s">
        <v>302</v>
      </c>
      <c r="Y80" s="31" t="s">
        <v>302</v>
      </c>
      <c r="Z80" s="31" t="s">
        <v>302</v>
      </c>
      <c r="AA80" s="31" t="s">
        <v>302</v>
      </c>
      <c r="AB80" s="31" t="s">
        <v>302</v>
      </c>
      <c r="AC80" s="31"/>
      <c r="AD80" s="31"/>
      <c r="AE80" s="31"/>
      <c r="AF80" s="31"/>
      <c r="AG80" s="31"/>
      <c r="AH80" s="31"/>
      <c r="AI80" s="31"/>
      <c r="AJ80" s="31"/>
      <c r="AK80" s="31"/>
      <c r="AL80" s="31"/>
      <c r="AM80" s="31"/>
      <c r="AN80" s="31"/>
      <c r="AO80" s="31"/>
      <c r="AP80" s="31"/>
      <c r="AQ80" s="31"/>
      <c r="AR80" s="31"/>
      <c r="AS80" s="31"/>
      <c r="AT80" s="31"/>
      <c r="AU80" s="31"/>
    </row>
    <row r="81" spans="7:47" x14ac:dyDescent="0.25">
      <c r="G81" s="37">
        <f t="shared" si="3"/>
        <v>5</v>
      </c>
      <c r="H81" s="37" t="str">
        <f t="shared" si="5"/>
        <v>K81:K85</v>
      </c>
      <c r="I81" s="33" t="s">
        <v>333</v>
      </c>
      <c r="J81" s="42" t="s">
        <v>333</v>
      </c>
      <c r="K81" s="33" t="s">
        <v>441</v>
      </c>
      <c r="L81" s="42" t="s">
        <v>334</v>
      </c>
      <c r="M81" s="42" t="s">
        <v>104</v>
      </c>
      <c r="N81" s="43" t="str">
        <f t="shared" si="4"/>
        <v>dataPoint|defaultColor</v>
      </c>
      <c r="O81" s="31" t="s">
        <v>302</v>
      </c>
      <c r="P81" s="31" t="s">
        <v>302</v>
      </c>
      <c r="Q81" s="31" t="s">
        <v>302</v>
      </c>
      <c r="R81" s="31" t="s">
        <v>302</v>
      </c>
      <c r="S81" s="31" t="s">
        <v>302</v>
      </c>
      <c r="T81" s="31" t="s">
        <v>302</v>
      </c>
      <c r="U81" s="31" t="s">
        <v>302</v>
      </c>
      <c r="V81" s="31" t="s">
        <v>302</v>
      </c>
      <c r="W81" s="31" t="s">
        <v>302</v>
      </c>
      <c r="X81" s="31" t="s">
        <v>302</v>
      </c>
      <c r="Y81" s="31" t="s">
        <v>302</v>
      </c>
      <c r="Z81" s="31" t="s">
        <v>302</v>
      </c>
      <c r="AA81" s="31" t="s">
        <v>302</v>
      </c>
      <c r="AB81" s="31" t="s">
        <v>302</v>
      </c>
      <c r="AC81" s="31"/>
      <c r="AD81" s="31"/>
      <c r="AE81" s="31"/>
      <c r="AF81" s="31"/>
      <c r="AG81" s="31"/>
      <c r="AH81" s="31"/>
      <c r="AI81" s="31"/>
      <c r="AJ81" s="31"/>
      <c r="AK81" s="31"/>
      <c r="AL81" s="31"/>
      <c r="AM81" s="31"/>
      <c r="AN81" s="31"/>
      <c r="AO81" s="31"/>
      <c r="AP81" s="31"/>
      <c r="AQ81" s="31"/>
      <c r="AR81" s="31"/>
      <c r="AS81" s="31"/>
      <c r="AT81" s="31"/>
      <c r="AU81" s="31"/>
    </row>
    <row r="82" spans="7:47" x14ac:dyDescent="0.25">
      <c r="G82" s="37">
        <f t="shared" si="3"/>
        <v>5</v>
      </c>
      <c r="H82" s="37" t="str">
        <f t="shared" si="5"/>
        <v>K81:K85</v>
      </c>
      <c r="I82" s="33" t="s">
        <v>333</v>
      </c>
      <c r="J82" s="42" t="s">
        <v>333</v>
      </c>
      <c r="K82" s="33" t="s">
        <v>441</v>
      </c>
      <c r="L82" s="42" t="s">
        <v>335</v>
      </c>
      <c r="M82" s="42" t="s">
        <v>104</v>
      </c>
      <c r="N82" s="43" t="str">
        <f t="shared" si="4"/>
        <v>dataPoint|defaultCategoryColor</v>
      </c>
      <c r="O82" s="31" t="s">
        <v>302</v>
      </c>
      <c r="P82" s="31" t="s">
        <v>302</v>
      </c>
      <c r="Q82" s="31" t="s">
        <v>302</v>
      </c>
      <c r="R82" s="31" t="s">
        <v>302</v>
      </c>
      <c r="S82" s="31" t="s">
        <v>302</v>
      </c>
      <c r="T82" s="31" t="s">
        <v>302</v>
      </c>
      <c r="U82" s="31" t="s">
        <v>302</v>
      </c>
      <c r="V82" s="31" t="s">
        <v>302</v>
      </c>
      <c r="W82" s="31" t="s">
        <v>302</v>
      </c>
      <c r="X82" s="31" t="s">
        <v>302</v>
      </c>
      <c r="Y82" s="31" t="s">
        <v>302</v>
      </c>
      <c r="Z82" s="31" t="s">
        <v>302</v>
      </c>
      <c r="AA82" s="31" t="s">
        <v>302</v>
      </c>
      <c r="AB82" s="31" t="s">
        <v>302</v>
      </c>
      <c r="AC82" s="31"/>
      <c r="AD82" s="31"/>
      <c r="AE82" s="31"/>
      <c r="AF82" s="31"/>
      <c r="AG82" s="31"/>
      <c r="AH82" s="31"/>
      <c r="AI82" s="31"/>
      <c r="AJ82" s="31"/>
      <c r="AK82" s="31"/>
      <c r="AL82" s="31"/>
      <c r="AM82" s="31"/>
      <c r="AN82" s="31"/>
      <c r="AO82" s="31"/>
      <c r="AP82" s="31"/>
      <c r="AQ82" s="31"/>
      <c r="AR82" s="31"/>
      <c r="AS82" s="31"/>
      <c r="AT82" s="31"/>
      <c r="AU82" s="31"/>
    </row>
    <row r="83" spans="7:47" x14ac:dyDescent="0.25">
      <c r="G83" s="37">
        <f t="shared" si="3"/>
        <v>5</v>
      </c>
      <c r="H83" s="37" t="str">
        <f t="shared" si="5"/>
        <v>K81:K85</v>
      </c>
      <c r="I83" s="33" t="s">
        <v>333</v>
      </c>
      <c r="J83" s="42" t="s">
        <v>333</v>
      </c>
      <c r="K83" s="33" t="s">
        <v>148</v>
      </c>
      <c r="L83" s="42" t="s">
        <v>104</v>
      </c>
      <c r="M83" s="42" t="s">
        <v>104</v>
      </c>
      <c r="N83" s="43" t="str">
        <f t="shared" si="4"/>
        <v>dataPoint|fill</v>
      </c>
      <c r="O83" s="31" t="s">
        <v>302</v>
      </c>
      <c r="P83" s="31" t="s">
        <v>302</v>
      </c>
      <c r="Q83" s="31" t="s">
        <v>302</v>
      </c>
      <c r="R83" s="31" t="s">
        <v>302</v>
      </c>
      <c r="S83" s="31" t="s">
        <v>302</v>
      </c>
      <c r="T83" s="31" t="s">
        <v>302</v>
      </c>
      <c r="U83" s="31" t="s">
        <v>302</v>
      </c>
      <c r="V83" s="31" t="s">
        <v>302</v>
      </c>
      <c r="W83" s="31" t="s">
        <v>302</v>
      </c>
      <c r="X83" s="31" t="s">
        <v>302</v>
      </c>
      <c r="Y83" s="31" t="s">
        <v>302</v>
      </c>
      <c r="Z83" s="31" t="s">
        <v>302</v>
      </c>
      <c r="AA83" s="31" t="s">
        <v>302</v>
      </c>
      <c r="AB83" s="31" t="s">
        <v>302</v>
      </c>
      <c r="AC83" s="31"/>
      <c r="AD83" s="31"/>
      <c r="AE83" s="31"/>
      <c r="AF83" s="31"/>
      <c r="AG83" s="31"/>
      <c r="AH83" s="31"/>
      <c r="AI83" s="31"/>
      <c r="AJ83" s="31"/>
      <c r="AK83" s="31"/>
      <c r="AL83" s="31"/>
      <c r="AM83" s="31"/>
      <c r="AN83" s="31"/>
      <c r="AO83" s="31"/>
      <c r="AP83" s="31"/>
      <c r="AQ83" s="31"/>
      <c r="AR83" s="31"/>
      <c r="AS83" s="31"/>
      <c r="AT83" s="31"/>
      <c r="AU83" s="31"/>
    </row>
    <row r="84" spans="7:47" x14ac:dyDescent="0.25">
      <c r="G84" s="37">
        <f t="shared" si="3"/>
        <v>5</v>
      </c>
      <c r="H84" s="37" t="str">
        <f t="shared" si="5"/>
        <v>K81:K85</v>
      </c>
      <c r="I84" s="33" t="s">
        <v>333</v>
      </c>
      <c r="J84" s="42" t="s">
        <v>333</v>
      </c>
      <c r="K84" s="33" t="s">
        <v>442</v>
      </c>
      <c r="L84" s="42" t="s">
        <v>336</v>
      </c>
      <c r="M84" s="42" t="s">
        <v>304</v>
      </c>
      <c r="N84" s="43" t="str">
        <f t="shared" si="4"/>
        <v>dataPoint|showAllDataPoints</v>
      </c>
      <c r="O84" s="31" t="s">
        <v>302</v>
      </c>
      <c r="P84" s="31" t="s">
        <v>302</v>
      </c>
      <c r="Q84" s="31" t="s">
        <v>302</v>
      </c>
      <c r="R84" s="31" t="s">
        <v>302</v>
      </c>
      <c r="S84" s="31" t="s">
        <v>302</v>
      </c>
      <c r="T84" s="31" t="s">
        <v>302</v>
      </c>
      <c r="U84" s="31" t="s">
        <v>302</v>
      </c>
      <c r="V84" s="31" t="s">
        <v>302</v>
      </c>
      <c r="W84" s="31" t="s">
        <v>302</v>
      </c>
      <c r="X84" s="31" t="s">
        <v>302</v>
      </c>
      <c r="Y84" s="31" t="s">
        <v>302</v>
      </c>
      <c r="Z84" s="31" t="s">
        <v>302</v>
      </c>
      <c r="AA84" s="31" t="s">
        <v>302</v>
      </c>
      <c r="AB84" s="31" t="s">
        <v>302</v>
      </c>
      <c r="AC84" s="31"/>
      <c r="AD84" s="31"/>
      <c r="AE84" s="31"/>
      <c r="AF84" s="31"/>
      <c r="AG84" s="31"/>
      <c r="AH84" s="31"/>
      <c r="AI84" s="31"/>
      <c r="AJ84" s="31"/>
      <c r="AK84" s="31"/>
      <c r="AL84" s="31"/>
      <c r="AM84" s="31"/>
      <c r="AN84" s="31"/>
      <c r="AO84" s="31"/>
      <c r="AP84" s="31"/>
      <c r="AQ84" s="31"/>
      <c r="AR84" s="31"/>
      <c r="AS84" s="31"/>
      <c r="AT84" s="31"/>
      <c r="AU84" s="31"/>
    </row>
    <row r="85" spans="7:47" x14ac:dyDescent="0.25">
      <c r="G85" s="37">
        <f t="shared" si="3"/>
        <v>5</v>
      </c>
      <c r="H85" s="37" t="str">
        <f t="shared" si="5"/>
        <v>K81:K85</v>
      </c>
      <c r="I85" s="33" t="s">
        <v>333</v>
      </c>
      <c r="J85" s="42" t="s">
        <v>333</v>
      </c>
      <c r="K85" s="33" t="s">
        <v>22</v>
      </c>
      <c r="L85" s="42" t="s">
        <v>332</v>
      </c>
      <c r="M85" s="42" t="s">
        <v>307</v>
      </c>
      <c r="N85" s="43" t="str">
        <f t="shared" si="4"/>
        <v>dataPoint|secTitleFontSize</v>
      </c>
      <c r="O85" s="31" t="s">
        <v>302</v>
      </c>
      <c r="P85" s="31" t="s">
        <v>302</v>
      </c>
      <c r="Q85" s="31" t="s">
        <v>302</v>
      </c>
      <c r="R85" s="31" t="s">
        <v>302</v>
      </c>
      <c r="S85" s="31" t="s">
        <v>302</v>
      </c>
      <c r="T85" s="31" t="s">
        <v>302</v>
      </c>
      <c r="U85" s="31" t="s">
        <v>302</v>
      </c>
      <c r="V85" s="31" t="s">
        <v>302</v>
      </c>
      <c r="W85" s="31" t="s">
        <v>302</v>
      </c>
      <c r="X85" s="31" t="s">
        <v>302</v>
      </c>
      <c r="Y85" s="31" t="s">
        <v>302</v>
      </c>
      <c r="Z85" s="31" t="s">
        <v>302</v>
      </c>
      <c r="AA85" s="31" t="s">
        <v>302</v>
      </c>
      <c r="AB85" s="31" t="s">
        <v>302</v>
      </c>
      <c r="AC85" s="31"/>
      <c r="AD85" s="31"/>
      <c r="AE85" s="31"/>
      <c r="AF85" s="31"/>
      <c r="AG85" s="31"/>
      <c r="AH85" s="31"/>
      <c r="AI85" s="31"/>
      <c r="AJ85" s="31"/>
      <c r="AK85" s="31"/>
      <c r="AL85" s="31"/>
      <c r="AM85" s="31"/>
      <c r="AN85" s="31"/>
      <c r="AO85" s="31"/>
      <c r="AP85" s="31"/>
      <c r="AQ85" s="31"/>
      <c r="AR85" s="31"/>
      <c r="AS85" s="31"/>
      <c r="AT85" s="31"/>
      <c r="AU85" s="31"/>
    </row>
    <row r="86" spans="7:47" x14ac:dyDescent="0.25">
      <c r="G86" s="37">
        <f t="shared" si="3"/>
        <v>2</v>
      </c>
      <c r="H86" s="37" t="str">
        <f t="shared" si="5"/>
        <v>K86:K87</v>
      </c>
      <c r="I86" s="33" t="s">
        <v>412</v>
      </c>
      <c r="J86" s="42" t="s">
        <v>412</v>
      </c>
      <c r="K86" s="33" t="s">
        <v>15</v>
      </c>
      <c r="L86" s="42" t="s">
        <v>315</v>
      </c>
      <c r="M86" s="42" t="s">
        <v>104</v>
      </c>
      <c r="N86" s="43" t="str">
        <f t="shared" si="4"/>
        <v>dateRange|color</v>
      </c>
      <c r="O86" s="31" t="s">
        <v>302</v>
      </c>
      <c r="P86" s="31" t="s">
        <v>302</v>
      </c>
      <c r="Q86" s="31" t="s">
        <v>302</v>
      </c>
      <c r="R86" s="31" t="s">
        <v>302</v>
      </c>
      <c r="S86" s="31" t="s">
        <v>302</v>
      </c>
      <c r="T86" s="31" t="s">
        <v>302</v>
      </c>
      <c r="U86" s="31" t="s">
        <v>302</v>
      </c>
      <c r="V86" s="31" t="s">
        <v>302</v>
      </c>
      <c r="W86" s="31" t="s">
        <v>302</v>
      </c>
      <c r="X86" s="31" t="s">
        <v>302</v>
      </c>
      <c r="Y86" s="31" t="s">
        <v>302</v>
      </c>
      <c r="Z86" s="31" t="s">
        <v>302</v>
      </c>
      <c r="AA86" s="31" t="s">
        <v>302</v>
      </c>
      <c r="AB86" s="31" t="s">
        <v>302</v>
      </c>
      <c r="AC86" s="31"/>
      <c r="AD86" s="31"/>
      <c r="AE86" s="31"/>
      <c r="AF86" s="31"/>
      <c r="AG86" s="31"/>
      <c r="AH86" s="31"/>
      <c r="AI86" s="31"/>
      <c r="AJ86" s="31"/>
      <c r="AK86" s="31"/>
      <c r="AL86" s="31"/>
      <c r="AM86" s="31"/>
      <c r="AN86" s="31"/>
      <c r="AO86" s="31"/>
      <c r="AP86" s="31"/>
      <c r="AQ86" s="31"/>
      <c r="AR86" s="31"/>
      <c r="AS86" s="31"/>
      <c r="AT86" s="31"/>
      <c r="AU86" s="31"/>
    </row>
    <row r="87" spans="7:47" x14ac:dyDescent="0.25">
      <c r="G87" s="37">
        <f t="shared" si="3"/>
        <v>2</v>
      </c>
      <c r="H87" s="37" t="str">
        <f t="shared" si="5"/>
        <v>K86:K87</v>
      </c>
      <c r="I87" s="33" t="s">
        <v>412</v>
      </c>
      <c r="J87" s="42" t="s">
        <v>412</v>
      </c>
      <c r="K87" s="33" t="s">
        <v>498</v>
      </c>
      <c r="L87" s="42" t="s">
        <v>413</v>
      </c>
      <c r="M87" s="42" t="s">
        <v>304</v>
      </c>
      <c r="N87" s="43" t="str">
        <f t="shared" si="4"/>
        <v>dateRange|includeToday</v>
      </c>
      <c r="O87" s="31" t="s">
        <v>302</v>
      </c>
      <c r="P87" s="31" t="s">
        <v>302</v>
      </c>
      <c r="Q87" s="31" t="s">
        <v>302</v>
      </c>
      <c r="R87" s="31" t="s">
        <v>302</v>
      </c>
      <c r="S87" s="31" t="s">
        <v>302</v>
      </c>
      <c r="T87" s="31" t="s">
        <v>302</v>
      </c>
      <c r="U87" s="31" t="s">
        <v>302</v>
      </c>
      <c r="V87" s="31" t="s">
        <v>302</v>
      </c>
      <c r="W87" s="31" t="s">
        <v>302</v>
      </c>
      <c r="X87" s="31" t="s">
        <v>302</v>
      </c>
      <c r="Y87" s="31" t="s">
        <v>302</v>
      </c>
      <c r="Z87" s="31" t="s">
        <v>302</v>
      </c>
      <c r="AA87" s="31" t="s">
        <v>302</v>
      </c>
      <c r="AB87" s="31" t="s">
        <v>302</v>
      </c>
      <c r="AC87" s="31"/>
      <c r="AD87" s="31"/>
      <c r="AE87" s="31"/>
      <c r="AF87" s="31"/>
      <c r="AG87" s="31"/>
      <c r="AH87" s="31"/>
      <c r="AI87" s="31"/>
      <c r="AJ87" s="31"/>
      <c r="AK87" s="31"/>
      <c r="AL87" s="31"/>
      <c r="AM87" s="31"/>
      <c r="AN87" s="31"/>
      <c r="AO87" s="31"/>
      <c r="AP87" s="31"/>
      <c r="AQ87" s="31"/>
      <c r="AR87" s="31"/>
      <c r="AS87" s="31"/>
      <c r="AT87" s="31"/>
      <c r="AU87" s="31"/>
    </row>
    <row r="88" spans="7:47" x14ac:dyDescent="0.25">
      <c r="G88" s="37">
        <f t="shared" si="3"/>
        <v>7</v>
      </c>
      <c r="H88" s="37" t="str">
        <f t="shared" si="5"/>
        <v>K88:K94</v>
      </c>
      <c r="I88" s="33" t="s">
        <v>145</v>
      </c>
      <c r="J88" s="42" t="s">
        <v>101</v>
      </c>
      <c r="K88" s="33" t="s">
        <v>34</v>
      </c>
      <c r="L88" s="42" t="s">
        <v>389</v>
      </c>
      <c r="M88" s="42" t="s">
        <v>104</v>
      </c>
      <c r="N88" s="43" t="str">
        <f t="shared" si="4"/>
        <v>columnFormatting|backColor</v>
      </c>
      <c r="O88" s="31" t="s">
        <v>302</v>
      </c>
      <c r="P88" s="31" t="s">
        <v>302</v>
      </c>
      <c r="Q88" s="31" t="s">
        <v>302</v>
      </c>
      <c r="R88" s="31" t="s">
        <v>302</v>
      </c>
      <c r="S88" s="31" t="s">
        <v>302</v>
      </c>
      <c r="T88" s="31" t="s">
        <v>302</v>
      </c>
      <c r="U88" s="31" t="s">
        <v>302</v>
      </c>
      <c r="V88" s="31" t="s">
        <v>302</v>
      </c>
      <c r="W88" s="31" t="s">
        <v>302</v>
      </c>
      <c r="X88" s="31" t="s">
        <v>302</v>
      </c>
      <c r="Y88" s="31" t="s">
        <v>302</v>
      </c>
      <c r="Z88" s="31" t="s">
        <v>302</v>
      </c>
      <c r="AA88" s="31" t="s">
        <v>302</v>
      </c>
      <c r="AB88" s="31" t="s">
        <v>302</v>
      </c>
      <c r="AC88" s="31"/>
      <c r="AD88" s="31"/>
      <c r="AE88" s="31"/>
      <c r="AF88" s="31"/>
      <c r="AG88" s="31"/>
      <c r="AH88" s="31"/>
      <c r="AI88" s="31"/>
      <c r="AJ88" s="31"/>
      <c r="AK88" s="31"/>
      <c r="AL88" s="31"/>
      <c r="AM88" s="31"/>
      <c r="AN88" s="31"/>
      <c r="AO88" s="31"/>
      <c r="AP88" s="31"/>
      <c r="AQ88" s="31"/>
      <c r="AR88" s="31"/>
      <c r="AS88" s="31"/>
      <c r="AT88" s="31"/>
      <c r="AU88" s="31"/>
    </row>
    <row r="89" spans="7:47" x14ac:dyDescent="0.25">
      <c r="G89" s="37">
        <f t="shared" si="3"/>
        <v>7</v>
      </c>
      <c r="H89" s="37" t="str">
        <f t="shared" si="5"/>
        <v>K88:K94</v>
      </c>
      <c r="I89" s="33" t="s">
        <v>145</v>
      </c>
      <c r="J89" s="42" t="s">
        <v>101</v>
      </c>
      <c r="K89" s="33" t="s">
        <v>488</v>
      </c>
      <c r="L89" s="42" t="s">
        <v>401</v>
      </c>
      <c r="M89" s="42" t="s">
        <v>304</v>
      </c>
      <c r="N89" s="43" t="str">
        <f t="shared" si="4"/>
        <v>columnFormatting|styleHeader</v>
      </c>
      <c r="O89" s="31" t="s">
        <v>302</v>
      </c>
      <c r="P89" s="31" t="s">
        <v>302</v>
      </c>
      <c r="Q89" s="31" t="s">
        <v>302</v>
      </c>
      <c r="R89" s="31" t="s">
        <v>302</v>
      </c>
      <c r="S89" s="31" t="s">
        <v>302</v>
      </c>
      <c r="T89" s="31" t="s">
        <v>302</v>
      </c>
      <c r="U89" s="31" t="s">
        <v>302</v>
      </c>
      <c r="V89" s="31" t="s">
        <v>302</v>
      </c>
      <c r="W89" s="31" t="s">
        <v>302</v>
      </c>
      <c r="X89" s="31" t="s">
        <v>302</v>
      </c>
      <c r="Y89" s="31" t="s">
        <v>302</v>
      </c>
      <c r="Z89" s="31" t="s">
        <v>302</v>
      </c>
      <c r="AA89" s="31" t="s">
        <v>302</v>
      </c>
      <c r="AB89" s="31" t="s">
        <v>302</v>
      </c>
      <c r="AC89" s="31"/>
      <c r="AD89" s="31"/>
      <c r="AE89" s="31"/>
      <c r="AF89" s="31"/>
      <c r="AG89" s="31"/>
      <c r="AH89" s="31"/>
      <c r="AI89" s="31"/>
      <c r="AJ89" s="31"/>
      <c r="AK89" s="31"/>
      <c r="AL89" s="31"/>
      <c r="AM89" s="31"/>
      <c r="AN89" s="31"/>
      <c r="AO89" s="31"/>
      <c r="AP89" s="31"/>
      <c r="AQ89" s="31"/>
      <c r="AR89" s="31"/>
      <c r="AS89" s="31"/>
      <c r="AT89" s="31"/>
      <c r="AU89" s="31"/>
    </row>
    <row r="90" spans="7:47" x14ac:dyDescent="0.25">
      <c r="G90" s="37">
        <f t="shared" si="3"/>
        <v>7</v>
      </c>
      <c r="H90" s="37" t="str">
        <f t="shared" si="5"/>
        <v>K88:K94</v>
      </c>
      <c r="I90" s="33" t="s">
        <v>145</v>
      </c>
      <c r="J90" s="42" t="s">
        <v>101</v>
      </c>
      <c r="K90" s="33" t="s">
        <v>491</v>
      </c>
      <c r="L90" s="42" t="s">
        <v>404</v>
      </c>
      <c r="M90" s="42" t="s">
        <v>304</v>
      </c>
      <c r="N90" s="43" t="str">
        <f t="shared" si="4"/>
        <v>columnFormatting|styleSubtotals</v>
      </c>
      <c r="O90" s="31" t="s">
        <v>302</v>
      </c>
      <c r="P90" s="31" t="s">
        <v>302</v>
      </c>
      <c r="Q90" s="31" t="s">
        <v>302</v>
      </c>
      <c r="R90" s="31" t="s">
        <v>302</v>
      </c>
      <c r="S90" s="31" t="s">
        <v>302</v>
      </c>
      <c r="T90" s="31" t="s">
        <v>302</v>
      </c>
      <c r="U90" s="31" t="s">
        <v>302</v>
      </c>
      <c r="V90" s="31" t="s">
        <v>302</v>
      </c>
      <c r="W90" s="31" t="s">
        <v>302</v>
      </c>
      <c r="X90" s="31" t="s">
        <v>302</v>
      </c>
      <c r="Y90" s="31" t="s">
        <v>302</v>
      </c>
      <c r="Z90" s="31" t="s">
        <v>302</v>
      </c>
      <c r="AA90" s="31" t="s">
        <v>302</v>
      </c>
      <c r="AB90" s="31" t="s">
        <v>302</v>
      </c>
      <c r="AC90" s="31"/>
      <c r="AD90" s="31"/>
      <c r="AE90" s="31"/>
      <c r="AF90" s="31"/>
      <c r="AG90" s="31"/>
      <c r="AH90" s="31"/>
      <c r="AI90" s="31"/>
      <c r="AJ90" s="31"/>
      <c r="AK90" s="31"/>
      <c r="AL90" s="31"/>
      <c r="AM90" s="31"/>
      <c r="AN90" s="31"/>
      <c r="AO90" s="31"/>
      <c r="AP90" s="31"/>
      <c r="AQ90" s="31"/>
      <c r="AR90" s="31"/>
      <c r="AS90" s="31"/>
      <c r="AT90" s="31"/>
      <c r="AU90" s="31"/>
    </row>
    <row r="91" spans="7:47" x14ac:dyDescent="0.25">
      <c r="G91" s="37">
        <f t="shared" si="3"/>
        <v>7</v>
      </c>
      <c r="H91" s="37" t="str">
        <f t="shared" si="5"/>
        <v>K88:K94</v>
      </c>
      <c r="I91" s="33" t="s">
        <v>145</v>
      </c>
      <c r="J91" s="42" t="s">
        <v>101</v>
      </c>
      <c r="K91" s="33" t="s">
        <v>490</v>
      </c>
      <c r="L91" s="42" t="s">
        <v>403</v>
      </c>
      <c r="M91" s="42" t="s">
        <v>304</v>
      </c>
      <c r="N91" s="43" t="str">
        <f t="shared" si="4"/>
        <v>columnFormatting|styleTotal</v>
      </c>
      <c r="O91" s="31" t="s">
        <v>302</v>
      </c>
      <c r="P91" s="31" t="s">
        <v>302</v>
      </c>
      <c r="Q91" s="31" t="s">
        <v>302</v>
      </c>
      <c r="R91" s="31" t="s">
        <v>302</v>
      </c>
      <c r="S91" s="31" t="s">
        <v>302</v>
      </c>
      <c r="T91" s="31" t="s">
        <v>302</v>
      </c>
      <c r="U91" s="31" t="s">
        <v>302</v>
      </c>
      <c r="V91" s="31" t="s">
        <v>302</v>
      </c>
      <c r="W91" s="31" t="s">
        <v>302</v>
      </c>
      <c r="X91" s="31" t="s">
        <v>302</v>
      </c>
      <c r="Y91" s="31" t="s">
        <v>302</v>
      </c>
      <c r="Z91" s="31" t="s">
        <v>302</v>
      </c>
      <c r="AA91" s="31" t="s">
        <v>302</v>
      </c>
      <c r="AB91" s="31" t="s">
        <v>302</v>
      </c>
      <c r="AC91" s="31"/>
      <c r="AD91" s="31"/>
      <c r="AE91" s="31"/>
      <c r="AF91" s="31"/>
      <c r="AG91" s="31"/>
      <c r="AH91" s="31"/>
      <c r="AI91" s="31"/>
      <c r="AJ91" s="31"/>
      <c r="AK91" s="31"/>
      <c r="AL91" s="31"/>
      <c r="AM91" s="31"/>
      <c r="AN91" s="31"/>
      <c r="AO91" s="31"/>
      <c r="AP91" s="31"/>
      <c r="AQ91" s="31"/>
      <c r="AR91" s="31"/>
      <c r="AS91" s="31"/>
      <c r="AT91" s="31"/>
      <c r="AU91" s="31"/>
    </row>
    <row r="92" spans="7:47" x14ac:dyDescent="0.25">
      <c r="G92" s="37">
        <f t="shared" si="3"/>
        <v>7</v>
      </c>
      <c r="H92" s="37" t="str">
        <f t="shared" si="5"/>
        <v>K88:K94</v>
      </c>
      <c r="I92" s="33" t="s">
        <v>145</v>
      </c>
      <c r="J92" s="42" t="s">
        <v>101</v>
      </c>
      <c r="K92" s="33" t="s">
        <v>489</v>
      </c>
      <c r="L92" s="42" t="s">
        <v>402</v>
      </c>
      <c r="M92" s="42" t="s">
        <v>304</v>
      </c>
      <c r="N92" s="43" t="str">
        <f t="shared" si="4"/>
        <v>columnFormatting|styleValues</v>
      </c>
      <c r="O92" s="31" t="s">
        <v>302</v>
      </c>
      <c r="P92" s="31" t="s">
        <v>302</v>
      </c>
      <c r="Q92" s="31" t="s">
        <v>302</v>
      </c>
      <c r="R92" s="31" t="s">
        <v>302</v>
      </c>
      <c r="S92" s="31" t="s">
        <v>302</v>
      </c>
      <c r="T92" s="31" t="s">
        <v>302</v>
      </c>
      <c r="U92" s="31" t="s">
        <v>302</v>
      </c>
      <c r="V92" s="31" t="s">
        <v>302</v>
      </c>
      <c r="W92" s="31" t="s">
        <v>302</v>
      </c>
      <c r="X92" s="31" t="s">
        <v>302</v>
      </c>
      <c r="Y92" s="31" t="s">
        <v>302</v>
      </c>
      <c r="Z92" s="31" t="s">
        <v>302</v>
      </c>
      <c r="AA92" s="31" t="s">
        <v>302</v>
      </c>
      <c r="AB92" s="31" t="s">
        <v>302</v>
      </c>
      <c r="AC92" s="31"/>
      <c r="AD92" s="31"/>
      <c r="AE92" s="31"/>
      <c r="AF92" s="31"/>
      <c r="AG92" s="31"/>
      <c r="AH92" s="31"/>
      <c r="AI92" s="31"/>
      <c r="AJ92" s="31"/>
      <c r="AK92" s="31"/>
      <c r="AL92" s="31"/>
      <c r="AM92" s="31"/>
      <c r="AN92" s="31"/>
      <c r="AO92" s="31"/>
      <c r="AP92" s="31"/>
      <c r="AQ92" s="31"/>
      <c r="AR92" s="31"/>
      <c r="AS92" s="31"/>
      <c r="AT92" s="31"/>
      <c r="AU92" s="31"/>
    </row>
    <row r="93" spans="7:47" x14ac:dyDescent="0.25">
      <c r="G93" s="37">
        <f t="shared" si="3"/>
        <v>7</v>
      </c>
      <c r="H93" s="37" t="str">
        <f t="shared" si="5"/>
        <v>K88:K94</v>
      </c>
      <c r="I93" s="33" t="s">
        <v>145</v>
      </c>
      <c r="J93" s="42" t="s">
        <v>101</v>
      </c>
      <c r="K93" s="33" t="s">
        <v>33</v>
      </c>
      <c r="L93" s="42" t="s">
        <v>211</v>
      </c>
      <c r="M93" s="42" t="s">
        <v>104</v>
      </c>
      <c r="N93" s="43" t="str">
        <f t="shared" si="4"/>
        <v>columnFormatting|fontColor</v>
      </c>
      <c r="O93" s="31" t="s">
        <v>302</v>
      </c>
      <c r="P93" s="31" t="s">
        <v>302</v>
      </c>
      <c r="Q93" s="31" t="s">
        <v>302</v>
      </c>
      <c r="R93" s="31" t="s">
        <v>302</v>
      </c>
      <c r="S93" s="31" t="s">
        <v>302</v>
      </c>
      <c r="T93" s="31" t="s">
        <v>302</v>
      </c>
      <c r="U93" s="31" t="s">
        <v>302</v>
      </c>
      <c r="V93" s="31" t="s">
        <v>302</v>
      </c>
      <c r="W93" s="31" t="s">
        <v>302</v>
      </c>
      <c r="X93" s="31" t="s">
        <v>302</v>
      </c>
      <c r="Y93" s="31" t="s">
        <v>302</v>
      </c>
      <c r="Z93" s="31" t="s">
        <v>302</v>
      </c>
      <c r="AA93" s="31" t="s">
        <v>302</v>
      </c>
      <c r="AB93" s="31" t="s">
        <v>302</v>
      </c>
      <c r="AC93" s="31"/>
      <c r="AD93" s="31"/>
      <c r="AE93" s="31"/>
      <c r="AF93" s="31"/>
      <c r="AG93" s="31"/>
      <c r="AH93" s="31"/>
      <c r="AI93" s="31"/>
      <c r="AJ93" s="31"/>
      <c r="AK93" s="31"/>
      <c r="AL93" s="31"/>
      <c r="AM93" s="31"/>
      <c r="AN93" s="31"/>
      <c r="AO93" s="31"/>
      <c r="AP93" s="31"/>
      <c r="AQ93" s="31"/>
      <c r="AR93" s="31"/>
      <c r="AS93" s="31"/>
      <c r="AT93" s="31"/>
      <c r="AU93" s="31"/>
    </row>
    <row r="94" spans="7:47" x14ac:dyDescent="0.25">
      <c r="G94" s="37">
        <f t="shared" si="3"/>
        <v>7</v>
      </c>
      <c r="H94" s="37" t="str">
        <f t="shared" si="5"/>
        <v>K88:K94</v>
      </c>
      <c r="I94" s="33" t="s">
        <v>145</v>
      </c>
      <c r="J94" s="42" t="s">
        <v>101</v>
      </c>
      <c r="K94" s="33" t="s">
        <v>16</v>
      </c>
      <c r="L94" s="42" t="s">
        <v>4</v>
      </c>
      <c r="M94" s="42" t="s">
        <v>307</v>
      </c>
      <c r="N94" s="43" t="str">
        <f t="shared" si="4"/>
        <v>columnFormatting|fontSize</v>
      </c>
      <c r="O94" s="31" t="s">
        <v>302</v>
      </c>
      <c r="P94" s="31" t="s">
        <v>302</v>
      </c>
      <c r="Q94" s="31" t="s">
        <v>302</v>
      </c>
      <c r="R94" s="31" t="s">
        <v>302</v>
      </c>
      <c r="S94" s="31" t="s">
        <v>302</v>
      </c>
      <c r="T94" s="31" t="s">
        <v>302</v>
      </c>
      <c r="U94" s="31" t="s">
        <v>302</v>
      </c>
      <c r="V94" s="31" t="s">
        <v>302</v>
      </c>
      <c r="W94" s="31" t="s">
        <v>302</v>
      </c>
      <c r="X94" s="31" t="s">
        <v>302</v>
      </c>
      <c r="Y94" s="31" t="s">
        <v>302</v>
      </c>
      <c r="Z94" s="31" t="s">
        <v>302</v>
      </c>
      <c r="AA94" s="31" t="s">
        <v>302</v>
      </c>
      <c r="AB94" s="31" t="s">
        <v>302</v>
      </c>
      <c r="AC94" s="31"/>
      <c r="AD94" s="31"/>
      <c r="AE94" s="31"/>
      <c r="AF94" s="31"/>
      <c r="AG94" s="31"/>
      <c r="AH94" s="31"/>
      <c r="AI94" s="31"/>
      <c r="AJ94" s="31"/>
      <c r="AK94" s="31"/>
      <c r="AL94" s="31"/>
      <c r="AM94" s="31"/>
      <c r="AN94" s="31"/>
      <c r="AO94" s="31"/>
      <c r="AP94" s="31"/>
      <c r="AQ94" s="31"/>
      <c r="AR94" s="31"/>
      <c r="AS94" s="31"/>
      <c r="AT94" s="31"/>
      <c r="AU94" s="31"/>
    </row>
    <row r="95" spans="7:47" x14ac:dyDescent="0.25">
      <c r="G95" s="37">
        <f t="shared" si="3"/>
        <v>4</v>
      </c>
      <c r="H95" s="37" t="str">
        <f t="shared" si="5"/>
        <v>K95:K98</v>
      </c>
      <c r="I95" s="33" t="s">
        <v>148</v>
      </c>
      <c r="J95" s="42" t="s">
        <v>104</v>
      </c>
      <c r="K95" s="33" t="s">
        <v>460</v>
      </c>
      <c r="L95" s="42" t="s">
        <v>356</v>
      </c>
      <c r="M95" s="42" t="s">
        <v>104</v>
      </c>
      <c r="N95" s="43" t="str">
        <f t="shared" si="4"/>
        <v>fill|fillColor</v>
      </c>
      <c r="O95" s="31" t="s">
        <v>302</v>
      </c>
      <c r="P95" s="31" t="s">
        <v>302</v>
      </c>
      <c r="Q95" s="31" t="s">
        <v>302</v>
      </c>
      <c r="R95" s="31" t="s">
        <v>302</v>
      </c>
      <c r="S95" s="31" t="s">
        <v>302</v>
      </c>
      <c r="T95" s="31" t="s">
        <v>302</v>
      </c>
      <c r="U95" s="31" t="s">
        <v>302</v>
      </c>
      <c r="V95" s="31" t="s">
        <v>302</v>
      </c>
      <c r="W95" s="31" t="s">
        <v>302</v>
      </c>
      <c r="X95" s="31" t="s">
        <v>302</v>
      </c>
      <c r="Y95" s="31" t="s">
        <v>302</v>
      </c>
      <c r="Z95" s="31" t="s">
        <v>302</v>
      </c>
      <c r="AA95" s="31" t="s">
        <v>302</v>
      </c>
      <c r="AB95" s="31" t="s">
        <v>302</v>
      </c>
      <c r="AC95" s="31"/>
      <c r="AD95" s="31"/>
      <c r="AE95" s="31"/>
      <c r="AF95" s="31"/>
      <c r="AG95" s="31"/>
      <c r="AH95" s="31"/>
      <c r="AI95" s="31"/>
      <c r="AJ95" s="31"/>
      <c r="AK95" s="31"/>
      <c r="AL95" s="31"/>
      <c r="AM95" s="31"/>
      <c r="AN95" s="31"/>
      <c r="AO95" s="31"/>
      <c r="AP95" s="31"/>
      <c r="AQ95" s="31"/>
      <c r="AR95" s="31"/>
      <c r="AS95" s="31"/>
      <c r="AT95" s="31"/>
      <c r="AU95" s="31"/>
    </row>
    <row r="96" spans="7:47" x14ac:dyDescent="0.25">
      <c r="G96" s="37">
        <f t="shared" si="3"/>
        <v>4</v>
      </c>
      <c r="H96" s="37" t="str">
        <f t="shared" si="5"/>
        <v>K95:K98</v>
      </c>
      <c r="I96" s="33" t="s">
        <v>148</v>
      </c>
      <c r="J96" s="42" t="s">
        <v>104</v>
      </c>
      <c r="K96" s="33" t="s">
        <v>459</v>
      </c>
      <c r="L96" s="42" t="s">
        <v>355</v>
      </c>
      <c r="M96" s="42" t="s">
        <v>310</v>
      </c>
      <c r="N96" s="43" t="str">
        <f t="shared" si="4"/>
        <v>fill|roundEdge</v>
      </c>
      <c r="O96" s="31" t="s">
        <v>302</v>
      </c>
      <c r="P96" s="31" t="s">
        <v>302</v>
      </c>
      <c r="Q96" s="31" t="s">
        <v>302</v>
      </c>
      <c r="R96" s="31" t="s">
        <v>302</v>
      </c>
      <c r="S96" s="31" t="s">
        <v>302</v>
      </c>
      <c r="T96" s="31" t="s">
        <v>302</v>
      </c>
      <c r="U96" s="31" t="s">
        <v>302</v>
      </c>
      <c r="V96" s="31" t="s">
        <v>302</v>
      </c>
      <c r="W96" s="31" t="s">
        <v>302</v>
      </c>
      <c r="X96" s="31" t="s">
        <v>302</v>
      </c>
      <c r="Y96" s="31" t="s">
        <v>302</v>
      </c>
      <c r="Z96" s="31" t="s">
        <v>302</v>
      </c>
      <c r="AA96" s="31" t="s">
        <v>302</v>
      </c>
      <c r="AB96" s="31" t="s">
        <v>302</v>
      </c>
      <c r="AC96" s="31"/>
      <c r="AD96" s="31"/>
      <c r="AE96" s="31"/>
      <c r="AF96" s="31"/>
      <c r="AG96" s="31"/>
      <c r="AH96" s="31"/>
      <c r="AI96" s="31"/>
      <c r="AJ96" s="31"/>
      <c r="AK96" s="31"/>
      <c r="AL96" s="31"/>
      <c r="AM96" s="31"/>
      <c r="AN96" s="31"/>
      <c r="AO96" s="31"/>
      <c r="AP96" s="31"/>
      <c r="AQ96" s="31"/>
      <c r="AR96" s="31"/>
      <c r="AS96" s="31"/>
      <c r="AT96" s="31"/>
      <c r="AU96" s="31"/>
    </row>
    <row r="97" spans="7:47" x14ac:dyDescent="0.25">
      <c r="G97" s="37">
        <f t="shared" si="3"/>
        <v>4</v>
      </c>
      <c r="H97" s="37" t="str">
        <f t="shared" si="5"/>
        <v>K95:K98</v>
      </c>
      <c r="I97" s="33" t="s">
        <v>148</v>
      </c>
      <c r="J97" s="42" t="s">
        <v>104</v>
      </c>
      <c r="K97" s="33" t="s">
        <v>213</v>
      </c>
      <c r="L97" s="42" t="s">
        <v>54</v>
      </c>
      <c r="M97" s="42" t="s">
        <v>304</v>
      </c>
      <c r="N97" s="43" t="str">
        <f t="shared" si="4"/>
        <v>fill|show</v>
      </c>
      <c r="O97" s="31" t="s">
        <v>302</v>
      </c>
      <c r="P97" s="31" t="s">
        <v>302</v>
      </c>
      <c r="Q97" s="31" t="s">
        <v>302</v>
      </c>
      <c r="R97" s="31" t="s">
        <v>302</v>
      </c>
      <c r="S97" s="31" t="s">
        <v>302</v>
      </c>
      <c r="T97" s="31" t="s">
        <v>302</v>
      </c>
      <c r="U97" s="31" t="s">
        <v>302</v>
      </c>
      <c r="V97" s="31" t="s">
        <v>302</v>
      </c>
      <c r="W97" s="31" t="s">
        <v>302</v>
      </c>
      <c r="X97" s="31" t="s">
        <v>302</v>
      </c>
      <c r="Y97" s="31" t="s">
        <v>302</v>
      </c>
      <c r="Z97" s="31" t="s">
        <v>302</v>
      </c>
      <c r="AA97" s="31" t="s">
        <v>302</v>
      </c>
      <c r="AB97" s="31" t="s">
        <v>302</v>
      </c>
      <c r="AC97" s="31"/>
      <c r="AD97" s="31"/>
      <c r="AE97" s="31"/>
      <c r="AF97" s="31"/>
      <c r="AG97" s="31"/>
      <c r="AH97" s="31"/>
      <c r="AI97" s="31"/>
      <c r="AJ97" s="31"/>
      <c r="AK97" s="31"/>
      <c r="AL97" s="31"/>
      <c r="AM97" s="31"/>
      <c r="AN97" s="31"/>
      <c r="AO97" s="31"/>
      <c r="AP97" s="31"/>
      <c r="AQ97" s="31"/>
      <c r="AR97" s="31"/>
      <c r="AS97" s="31"/>
      <c r="AT97" s="31"/>
      <c r="AU97" s="31"/>
    </row>
    <row r="98" spans="7:47" x14ac:dyDescent="0.25">
      <c r="G98" s="37">
        <f t="shared" si="3"/>
        <v>4</v>
      </c>
      <c r="H98" s="37" t="str">
        <f t="shared" si="5"/>
        <v>K95:K98</v>
      </c>
      <c r="I98" s="33" t="s">
        <v>148</v>
      </c>
      <c r="J98" s="42" t="s">
        <v>104</v>
      </c>
      <c r="K98" s="33" t="s">
        <v>32</v>
      </c>
      <c r="L98" s="42" t="s">
        <v>208</v>
      </c>
      <c r="M98" s="42" t="s">
        <v>310</v>
      </c>
      <c r="N98" s="43" t="str">
        <f t="shared" si="4"/>
        <v>fill|transparency</v>
      </c>
      <c r="O98" s="31" t="s">
        <v>302</v>
      </c>
      <c r="P98" s="31" t="s">
        <v>302</v>
      </c>
      <c r="Q98" s="31" t="s">
        <v>302</v>
      </c>
      <c r="R98" s="31" t="s">
        <v>302</v>
      </c>
      <c r="S98" s="31" t="s">
        <v>302</v>
      </c>
      <c r="T98" s="31" t="s">
        <v>302</v>
      </c>
      <c r="U98" s="31" t="s">
        <v>302</v>
      </c>
      <c r="V98" s="31" t="s">
        <v>302</v>
      </c>
      <c r="W98" s="31" t="s">
        <v>302</v>
      </c>
      <c r="X98" s="31" t="s">
        <v>302</v>
      </c>
      <c r="Y98" s="31" t="s">
        <v>302</v>
      </c>
      <c r="Z98" s="31" t="s">
        <v>302</v>
      </c>
      <c r="AA98" s="31" t="s">
        <v>302</v>
      </c>
      <c r="AB98" s="31" t="s">
        <v>302</v>
      </c>
      <c r="AC98" s="31"/>
      <c r="AD98" s="31"/>
      <c r="AE98" s="31"/>
      <c r="AF98" s="31"/>
      <c r="AG98" s="31"/>
      <c r="AH98" s="31"/>
      <c r="AI98" s="31"/>
      <c r="AJ98" s="31"/>
      <c r="AK98" s="31"/>
      <c r="AL98" s="31"/>
      <c r="AM98" s="31"/>
      <c r="AN98" s="31"/>
      <c r="AO98" s="31"/>
      <c r="AP98" s="31"/>
      <c r="AQ98" s="31"/>
      <c r="AR98" s="31"/>
      <c r="AS98" s="31"/>
      <c r="AT98" s="31"/>
      <c r="AU98" s="31"/>
    </row>
    <row r="99" spans="7:47" x14ac:dyDescent="0.25">
      <c r="G99" s="37">
        <f t="shared" si="3"/>
        <v>2</v>
      </c>
      <c r="H99" s="37" t="str">
        <f t="shared" si="5"/>
        <v>K99:K100</v>
      </c>
      <c r="I99" s="33" t="s">
        <v>149</v>
      </c>
      <c r="J99" s="42" t="s">
        <v>105</v>
      </c>
      <c r="K99" s="33" t="s">
        <v>27</v>
      </c>
      <c r="L99" s="42" t="s">
        <v>352</v>
      </c>
      <c r="M99" s="42" t="s">
        <v>307</v>
      </c>
      <c r="N99" s="43" t="str">
        <f t="shared" si="4"/>
        <v>fillPoint|dataLabelDisplayUnits</v>
      </c>
      <c r="O99" s="31" t="s">
        <v>302</v>
      </c>
      <c r="P99" s="31" t="s">
        <v>302</v>
      </c>
      <c r="Q99" s="31" t="s">
        <v>302</v>
      </c>
      <c r="R99" s="31" t="s">
        <v>302</v>
      </c>
      <c r="S99" s="31" t="s">
        <v>302</v>
      </c>
      <c r="T99" s="31" t="s">
        <v>302</v>
      </c>
      <c r="U99" s="31" t="s">
        <v>302</v>
      </c>
      <c r="V99" s="31" t="s">
        <v>302</v>
      </c>
      <c r="W99" s="31" t="s">
        <v>302</v>
      </c>
      <c r="X99" s="31" t="s">
        <v>302</v>
      </c>
      <c r="Y99" s="31" t="s">
        <v>302</v>
      </c>
      <c r="Z99" s="31" t="s">
        <v>302</v>
      </c>
      <c r="AA99" s="31" t="s">
        <v>302</v>
      </c>
      <c r="AB99" s="31" t="s">
        <v>302</v>
      </c>
      <c r="AC99" s="31"/>
      <c r="AD99" s="31"/>
      <c r="AE99" s="31"/>
      <c r="AF99" s="31"/>
      <c r="AG99" s="31"/>
      <c r="AH99" s="31"/>
      <c r="AI99" s="31"/>
      <c r="AJ99" s="31"/>
      <c r="AK99" s="31"/>
      <c r="AL99" s="31"/>
      <c r="AM99" s="31"/>
      <c r="AN99" s="31"/>
      <c r="AO99" s="31"/>
      <c r="AP99" s="31"/>
      <c r="AQ99" s="31"/>
      <c r="AR99" s="31"/>
      <c r="AS99" s="31"/>
      <c r="AT99" s="31"/>
      <c r="AU99" s="31"/>
    </row>
    <row r="100" spans="7:47" x14ac:dyDescent="0.25">
      <c r="G100" s="37">
        <f t="shared" si="3"/>
        <v>2</v>
      </c>
      <c r="H100" s="37" t="str">
        <f t="shared" si="5"/>
        <v>K99:K100</v>
      </c>
      <c r="I100" s="33" t="s">
        <v>149</v>
      </c>
      <c r="J100" s="42" t="s">
        <v>105</v>
      </c>
      <c r="K100" s="33" t="s">
        <v>213</v>
      </c>
      <c r="L100" s="42" t="s">
        <v>54</v>
      </c>
      <c r="M100" s="42" t="s">
        <v>304</v>
      </c>
      <c r="N100" s="43" t="str">
        <f t="shared" si="4"/>
        <v>fillPoint|show</v>
      </c>
      <c r="O100" s="31" t="s">
        <v>302</v>
      </c>
      <c r="P100" s="31" t="s">
        <v>302</v>
      </c>
      <c r="Q100" s="31" t="s">
        <v>302</v>
      </c>
      <c r="R100" s="31" t="s">
        <v>302</v>
      </c>
      <c r="S100" s="31" t="s">
        <v>302</v>
      </c>
      <c r="T100" s="31" t="s">
        <v>302</v>
      </c>
      <c r="U100" s="31" t="s">
        <v>302</v>
      </c>
      <c r="V100" s="31" t="s">
        <v>302</v>
      </c>
      <c r="W100" s="31" t="s">
        <v>302</v>
      </c>
      <c r="X100" s="31" t="s">
        <v>302</v>
      </c>
      <c r="Y100" s="31" t="s">
        <v>302</v>
      </c>
      <c r="Z100" s="31" t="s">
        <v>302</v>
      </c>
      <c r="AA100" s="31" t="s">
        <v>302</v>
      </c>
      <c r="AB100" s="31" t="s">
        <v>302</v>
      </c>
      <c r="AC100" s="31"/>
      <c r="AD100" s="31"/>
      <c r="AE100" s="31"/>
      <c r="AF100" s="31"/>
      <c r="AG100" s="31"/>
      <c r="AH100" s="31"/>
      <c r="AI100" s="31"/>
      <c r="AJ100" s="31"/>
      <c r="AK100" s="31"/>
      <c r="AL100" s="31"/>
      <c r="AM100" s="31"/>
      <c r="AN100" s="31"/>
      <c r="AO100" s="31"/>
      <c r="AP100" s="31"/>
      <c r="AQ100" s="31"/>
      <c r="AR100" s="31"/>
      <c r="AS100" s="31"/>
      <c r="AT100" s="31"/>
      <c r="AU100" s="31"/>
    </row>
    <row r="101" spans="7:47" x14ac:dyDescent="0.25">
      <c r="G101" s="37">
        <f t="shared" si="3"/>
        <v>7</v>
      </c>
      <c r="H101" s="37" t="str">
        <f t="shared" si="5"/>
        <v>K101:K107</v>
      </c>
      <c r="I101" s="33" t="s">
        <v>150</v>
      </c>
      <c r="J101" s="42" t="s">
        <v>106</v>
      </c>
      <c r="K101" s="33" t="s">
        <v>15</v>
      </c>
      <c r="L101" s="42" t="s">
        <v>347</v>
      </c>
      <c r="M101" s="42" t="s">
        <v>104</v>
      </c>
      <c r="N101" s="43" t="str">
        <f t="shared" si="4"/>
        <v>forecast|lineColor</v>
      </c>
      <c r="O101" s="31" t="s">
        <v>302</v>
      </c>
      <c r="P101" s="31" t="s">
        <v>302</v>
      </c>
      <c r="Q101" s="31" t="s">
        <v>302</v>
      </c>
      <c r="R101" s="31" t="s">
        <v>302</v>
      </c>
      <c r="S101" s="31" t="s">
        <v>302</v>
      </c>
      <c r="T101" s="31" t="s">
        <v>302</v>
      </c>
      <c r="U101" s="31" t="s">
        <v>302</v>
      </c>
      <c r="V101" s="31" t="s">
        <v>302</v>
      </c>
      <c r="W101" s="31" t="s">
        <v>302</v>
      </c>
      <c r="X101" s="31" t="s">
        <v>302</v>
      </c>
      <c r="Y101" s="31" t="s">
        <v>302</v>
      </c>
      <c r="Z101" s="31" t="s">
        <v>302</v>
      </c>
      <c r="AA101" s="31" t="s">
        <v>302</v>
      </c>
      <c r="AB101" s="31" t="s">
        <v>302</v>
      </c>
      <c r="AC101" s="31"/>
      <c r="AD101" s="31"/>
      <c r="AE101" s="31"/>
      <c r="AF101" s="31"/>
      <c r="AG101" s="31"/>
      <c r="AH101" s="31"/>
      <c r="AI101" s="31"/>
      <c r="AJ101" s="31"/>
      <c r="AK101" s="31"/>
      <c r="AL101" s="31"/>
      <c r="AM101" s="31"/>
      <c r="AN101" s="31"/>
      <c r="AO101" s="31"/>
      <c r="AP101" s="31"/>
      <c r="AQ101" s="31"/>
      <c r="AR101" s="31"/>
      <c r="AS101" s="31"/>
      <c r="AT101" s="31"/>
      <c r="AU101" s="31"/>
    </row>
    <row r="102" spans="7:47" x14ac:dyDescent="0.25">
      <c r="G102" s="37">
        <f t="shared" si="3"/>
        <v>7</v>
      </c>
      <c r="H102" s="37" t="str">
        <f t="shared" si="5"/>
        <v>K101:K107</v>
      </c>
      <c r="I102" s="33" t="s">
        <v>150</v>
      </c>
      <c r="J102" s="42" t="s">
        <v>106</v>
      </c>
      <c r="K102" s="33" t="s">
        <v>466</v>
      </c>
      <c r="L102" s="42" t="s">
        <v>239</v>
      </c>
      <c r="M102" s="42" t="s">
        <v>305</v>
      </c>
      <c r="N102" s="43" t="str">
        <f t="shared" si="4"/>
        <v>forecast|confidenceBandStyle</v>
      </c>
      <c r="O102" s="31" t="s">
        <v>104</v>
      </c>
      <c r="P102" s="31" t="s">
        <v>289</v>
      </c>
      <c r="Q102" s="31" t="s">
        <v>290</v>
      </c>
      <c r="R102" s="31"/>
      <c r="S102" s="31"/>
      <c r="T102" s="31"/>
      <c r="U102" s="31"/>
      <c r="V102" s="31"/>
      <c r="W102" s="31"/>
      <c r="X102" s="31"/>
      <c r="Y102" s="31"/>
      <c r="Z102" s="31"/>
      <c r="AA102" s="31"/>
      <c r="AB102" s="31"/>
      <c r="AC102" s="31"/>
      <c r="AD102" s="31"/>
      <c r="AE102" s="31"/>
      <c r="AF102" s="31"/>
      <c r="AG102" s="31"/>
      <c r="AH102" s="31"/>
      <c r="AI102" s="31"/>
      <c r="AJ102" s="31"/>
      <c r="AK102" s="31"/>
      <c r="AL102" s="31"/>
      <c r="AM102" s="31"/>
      <c r="AN102" s="31"/>
      <c r="AO102" s="31"/>
      <c r="AP102" s="31"/>
      <c r="AQ102" s="31"/>
      <c r="AR102" s="31"/>
      <c r="AS102" s="31"/>
      <c r="AT102" s="31"/>
      <c r="AU102" s="31"/>
    </row>
    <row r="103" spans="7:47" x14ac:dyDescent="0.25">
      <c r="G103" s="37">
        <f t="shared" si="3"/>
        <v>7</v>
      </c>
      <c r="H103" s="37" t="str">
        <f t="shared" si="5"/>
        <v>K101:K107</v>
      </c>
      <c r="I103" s="33" t="s">
        <v>150</v>
      </c>
      <c r="J103" s="42" t="s">
        <v>106</v>
      </c>
      <c r="K103" s="33" t="s">
        <v>30</v>
      </c>
      <c r="L103" s="42" t="s">
        <v>231</v>
      </c>
      <c r="M103" s="42" t="s">
        <v>305</v>
      </c>
      <c r="N103" s="43" t="str">
        <f t="shared" si="4"/>
        <v>forecast|style</v>
      </c>
      <c r="O103" s="31" t="s">
        <v>253</v>
      </c>
      <c r="P103" s="31" t="s">
        <v>254</v>
      </c>
      <c r="Q103" s="31" t="s">
        <v>255</v>
      </c>
      <c r="R103" s="31"/>
      <c r="S103" s="31"/>
      <c r="T103" s="31"/>
      <c r="U103" s="31"/>
      <c r="V103" s="31"/>
      <c r="W103" s="31"/>
      <c r="X103" s="31"/>
      <c r="Y103" s="31"/>
      <c r="Z103" s="31"/>
      <c r="AA103" s="31"/>
      <c r="AB103" s="31"/>
      <c r="AC103" s="31"/>
      <c r="AD103" s="31"/>
      <c r="AE103" s="31"/>
      <c r="AF103" s="31"/>
      <c r="AG103" s="31"/>
      <c r="AH103" s="31"/>
      <c r="AI103" s="31"/>
      <c r="AJ103" s="31"/>
      <c r="AK103" s="31"/>
      <c r="AL103" s="31"/>
      <c r="AM103" s="31"/>
      <c r="AN103" s="31"/>
      <c r="AO103" s="31"/>
      <c r="AP103" s="31"/>
      <c r="AQ103" s="31"/>
      <c r="AR103" s="31"/>
      <c r="AS103" s="31"/>
      <c r="AT103" s="31"/>
      <c r="AU103" s="31"/>
    </row>
    <row r="104" spans="7:47" x14ac:dyDescent="0.25">
      <c r="G104" s="37">
        <f t="shared" si="3"/>
        <v>7</v>
      </c>
      <c r="H104" s="37" t="str">
        <f t="shared" si="5"/>
        <v>K101:K107</v>
      </c>
      <c r="I104" s="33" t="s">
        <v>150</v>
      </c>
      <c r="J104" s="42" t="s">
        <v>106</v>
      </c>
      <c r="K104" s="33" t="s">
        <v>233</v>
      </c>
      <c r="L104" s="42" t="s">
        <v>222</v>
      </c>
      <c r="M104" s="42" t="s">
        <v>317</v>
      </c>
      <c r="N104" s="43" t="str">
        <f t="shared" si="4"/>
        <v>forecast|displayName</v>
      </c>
      <c r="O104" s="31" t="s">
        <v>302</v>
      </c>
      <c r="P104" s="31" t="s">
        <v>302</v>
      </c>
      <c r="Q104" s="31" t="s">
        <v>302</v>
      </c>
      <c r="R104" s="31" t="s">
        <v>302</v>
      </c>
      <c r="S104" s="31" t="s">
        <v>302</v>
      </c>
      <c r="T104" s="31" t="s">
        <v>302</v>
      </c>
      <c r="U104" s="31" t="s">
        <v>302</v>
      </c>
      <c r="V104" s="31" t="s">
        <v>302</v>
      </c>
      <c r="W104" s="31" t="s">
        <v>302</v>
      </c>
      <c r="X104" s="31" t="s">
        <v>302</v>
      </c>
      <c r="Y104" s="31" t="s">
        <v>302</v>
      </c>
      <c r="Z104" s="31" t="s">
        <v>302</v>
      </c>
      <c r="AA104" s="31" t="s">
        <v>302</v>
      </c>
      <c r="AB104" s="31" t="s">
        <v>302</v>
      </c>
      <c r="AC104" s="31"/>
      <c r="AD104" s="31"/>
      <c r="AE104" s="31"/>
      <c r="AF104" s="31"/>
      <c r="AG104" s="31"/>
      <c r="AH104" s="31"/>
      <c r="AI104" s="31"/>
      <c r="AJ104" s="31"/>
      <c r="AK104" s="31"/>
      <c r="AL104" s="31"/>
      <c r="AM104" s="31"/>
      <c r="AN104" s="31"/>
      <c r="AO104" s="31"/>
      <c r="AP104" s="31"/>
      <c r="AQ104" s="31"/>
      <c r="AR104" s="31"/>
      <c r="AS104" s="31"/>
      <c r="AT104" s="31"/>
      <c r="AU104" s="31"/>
    </row>
    <row r="105" spans="7:47" x14ac:dyDescent="0.25">
      <c r="G105" s="37">
        <f t="shared" si="3"/>
        <v>7</v>
      </c>
      <c r="H105" s="37" t="str">
        <f t="shared" si="5"/>
        <v>K101:K107</v>
      </c>
      <c r="I105" s="33" t="s">
        <v>150</v>
      </c>
      <c r="J105" s="42" t="s">
        <v>106</v>
      </c>
      <c r="K105" s="33" t="s">
        <v>213</v>
      </c>
      <c r="L105" s="42" t="s">
        <v>54</v>
      </c>
      <c r="M105" s="42" t="s">
        <v>304</v>
      </c>
      <c r="N105" s="43" t="str">
        <f t="shared" si="4"/>
        <v>forecast|show</v>
      </c>
      <c r="O105" s="31" t="s">
        <v>302</v>
      </c>
      <c r="P105" s="31" t="s">
        <v>302</v>
      </c>
      <c r="Q105" s="31" t="s">
        <v>302</v>
      </c>
      <c r="R105" s="31" t="s">
        <v>302</v>
      </c>
      <c r="S105" s="31" t="s">
        <v>302</v>
      </c>
      <c r="T105" s="31" t="s">
        <v>302</v>
      </c>
      <c r="U105" s="31" t="s">
        <v>302</v>
      </c>
      <c r="V105" s="31" t="s">
        <v>302</v>
      </c>
      <c r="W105" s="31" t="s">
        <v>302</v>
      </c>
      <c r="X105" s="31" t="s">
        <v>302</v>
      </c>
      <c r="Y105" s="31" t="s">
        <v>302</v>
      </c>
      <c r="Z105" s="31" t="s">
        <v>302</v>
      </c>
      <c r="AA105" s="31" t="s">
        <v>302</v>
      </c>
      <c r="AB105" s="31" t="s">
        <v>302</v>
      </c>
      <c r="AC105" s="31"/>
      <c r="AD105" s="31"/>
      <c r="AE105" s="31"/>
      <c r="AF105" s="31"/>
      <c r="AG105" s="31"/>
      <c r="AH105" s="31"/>
      <c r="AI105" s="31"/>
      <c r="AJ105" s="31"/>
      <c r="AK105" s="31"/>
      <c r="AL105" s="31"/>
      <c r="AM105" s="31"/>
      <c r="AN105" s="31"/>
      <c r="AO105" s="31"/>
      <c r="AP105" s="31"/>
      <c r="AQ105" s="31"/>
      <c r="AR105" s="31"/>
      <c r="AS105" s="31"/>
      <c r="AT105" s="31"/>
      <c r="AU105" s="31"/>
    </row>
    <row r="106" spans="7:47" x14ac:dyDescent="0.25">
      <c r="G106" s="37">
        <f t="shared" si="3"/>
        <v>7</v>
      </c>
      <c r="H106" s="37" t="str">
        <f t="shared" si="5"/>
        <v>K101:K107</v>
      </c>
      <c r="I106" s="33" t="s">
        <v>150</v>
      </c>
      <c r="J106" s="42" t="s">
        <v>106</v>
      </c>
      <c r="K106" s="33" t="s">
        <v>32</v>
      </c>
      <c r="L106" s="42" t="s">
        <v>208</v>
      </c>
      <c r="M106" s="42" t="s">
        <v>310</v>
      </c>
      <c r="N106" s="43" t="str">
        <f t="shared" si="4"/>
        <v>forecast|transparency</v>
      </c>
      <c r="O106" s="31" t="s">
        <v>302</v>
      </c>
      <c r="P106" s="31" t="s">
        <v>302</v>
      </c>
      <c r="Q106" s="31" t="s">
        <v>302</v>
      </c>
      <c r="R106" s="31" t="s">
        <v>302</v>
      </c>
      <c r="S106" s="31" t="s">
        <v>302</v>
      </c>
      <c r="T106" s="31" t="s">
        <v>302</v>
      </c>
      <c r="U106" s="31" t="s">
        <v>302</v>
      </c>
      <c r="V106" s="31" t="s">
        <v>302</v>
      </c>
      <c r="W106" s="31" t="s">
        <v>302</v>
      </c>
      <c r="X106" s="31" t="s">
        <v>302</v>
      </c>
      <c r="Y106" s="31" t="s">
        <v>302</v>
      </c>
      <c r="Z106" s="31" t="s">
        <v>302</v>
      </c>
      <c r="AA106" s="31" t="s">
        <v>302</v>
      </c>
      <c r="AB106" s="31" t="s">
        <v>302</v>
      </c>
      <c r="AC106" s="31"/>
      <c r="AD106" s="31"/>
      <c r="AE106" s="31"/>
      <c r="AF106" s="31"/>
      <c r="AG106" s="31"/>
      <c r="AH106" s="31"/>
      <c r="AI106" s="31"/>
      <c r="AJ106" s="31"/>
      <c r="AK106" s="31"/>
      <c r="AL106" s="31"/>
      <c r="AM106" s="31"/>
      <c r="AN106" s="31"/>
      <c r="AO106" s="31"/>
      <c r="AP106" s="31"/>
      <c r="AQ106" s="31"/>
      <c r="AR106" s="31"/>
      <c r="AS106" s="31"/>
      <c r="AT106" s="31"/>
      <c r="AU106" s="31"/>
    </row>
    <row r="107" spans="7:47" x14ac:dyDescent="0.25">
      <c r="G107" s="37">
        <f t="shared" si="3"/>
        <v>7</v>
      </c>
      <c r="H107" s="37" t="str">
        <f t="shared" si="5"/>
        <v>K101:K107</v>
      </c>
      <c r="I107" s="33" t="s">
        <v>150</v>
      </c>
      <c r="J107" s="42" t="s">
        <v>106</v>
      </c>
      <c r="K107" s="33" t="s">
        <v>28</v>
      </c>
      <c r="L107" s="42" t="s">
        <v>312</v>
      </c>
      <c r="M107" s="42" t="s">
        <v>310</v>
      </c>
      <c r="N107" s="43" t="str">
        <f t="shared" si="4"/>
        <v>forecast|labelPrecision</v>
      </c>
      <c r="O107" s="31" t="s">
        <v>302</v>
      </c>
      <c r="P107" s="31" t="s">
        <v>302</v>
      </c>
      <c r="Q107" s="31" t="s">
        <v>302</v>
      </c>
      <c r="R107" s="31" t="s">
        <v>302</v>
      </c>
      <c r="S107" s="31" t="s">
        <v>302</v>
      </c>
      <c r="T107" s="31" t="s">
        <v>302</v>
      </c>
      <c r="U107" s="31" t="s">
        <v>302</v>
      </c>
      <c r="V107" s="31" t="s">
        <v>302</v>
      </c>
      <c r="W107" s="31" t="s">
        <v>302</v>
      </c>
      <c r="X107" s="31" t="s">
        <v>302</v>
      </c>
      <c r="Y107" s="31" t="s">
        <v>302</v>
      </c>
      <c r="Z107" s="31" t="s">
        <v>302</v>
      </c>
      <c r="AA107" s="31" t="s">
        <v>302</v>
      </c>
      <c r="AB107" s="31" t="s">
        <v>302</v>
      </c>
      <c r="AC107" s="31"/>
      <c r="AD107" s="31"/>
      <c r="AE107" s="31"/>
      <c r="AF107" s="31"/>
      <c r="AG107" s="31"/>
      <c r="AH107" s="31"/>
      <c r="AI107" s="31"/>
      <c r="AJ107" s="31"/>
      <c r="AK107" s="31"/>
      <c r="AL107" s="31"/>
      <c r="AM107" s="31"/>
      <c r="AN107" s="31"/>
      <c r="AO107" s="31"/>
      <c r="AP107" s="31"/>
      <c r="AQ107" s="31"/>
      <c r="AR107" s="31"/>
      <c r="AS107" s="31"/>
      <c r="AT107" s="31"/>
      <c r="AU107" s="31"/>
    </row>
    <row r="108" spans="7:47" x14ac:dyDescent="0.25">
      <c r="G108" s="37">
        <f t="shared" si="3"/>
        <v>4</v>
      </c>
      <c r="H108" s="37" t="str">
        <f t="shared" si="5"/>
        <v>K108:K111</v>
      </c>
      <c r="I108" s="33" t="s">
        <v>138</v>
      </c>
      <c r="J108" s="42" t="s">
        <v>95</v>
      </c>
      <c r="K108" s="33" t="s">
        <v>17</v>
      </c>
      <c r="L108" s="42" t="s">
        <v>5</v>
      </c>
      <c r="M108" s="42" t="s">
        <v>307</v>
      </c>
      <c r="N108" s="43" t="str">
        <f t="shared" si="4"/>
        <v>axis|fontFamily</v>
      </c>
      <c r="O108" s="31" t="s">
        <v>302</v>
      </c>
      <c r="P108" s="31" t="s">
        <v>302</v>
      </c>
      <c r="Q108" s="31" t="s">
        <v>302</v>
      </c>
      <c r="R108" s="31" t="s">
        <v>302</v>
      </c>
      <c r="S108" s="31" t="s">
        <v>302</v>
      </c>
      <c r="T108" s="31" t="s">
        <v>302</v>
      </c>
      <c r="U108" s="31" t="s">
        <v>302</v>
      </c>
      <c r="V108" s="31" t="s">
        <v>302</v>
      </c>
      <c r="W108" s="31" t="s">
        <v>302</v>
      </c>
      <c r="X108" s="31" t="s">
        <v>302</v>
      </c>
      <c r="Y108" s="31" t="s">
        <v>302</v>
      </c>
      <c r="Z108" s="31" t="s">
        <v>302</v>
      </c>
      <c r="AA108" s="31" t="s">
        <v>302</v>
      </c>
      <c r="AB108" s="31" t="s">
        <v>302</v>
      </c>
      <c r="AC108" s="31"/>
      <c r="AD108" s="31"/>
      <c r="AE108" s="31"/>
      <c r="AF108" s="31"/>
      <c r="AG108" s="31"/>
      <c r="AH108" s="31"/>
      <c r="AI108" s="31"/>
      <c r="AJ108" s="31"/>
      <c r="AK108" s="31"/>
      <c r="AL108" s="31"/>
      <c r="AM108" s="31"/>
      <c r="AN108" s="31"/>
      <c r="AO108" s="31"/>
      <c r="AP108" s="31"/>
      <c r="AQ108" s="31"/>
      <c r="AR108" s="31"/>
      <c r="AS108" s="31"/>
      <c r="AT108" s="31"/>
      <c r="AU108" s="31"/>
    </row>
    <row r="109" spans="7:47" x14ac:dyDescent="0.25">
      <c r="G109" s="37">
        <f t="shared" si="3"/>
        <v>4</v>
      </c>
      <c r="H109" s="37" t="str">
        <f t="shared" si="5"/>
        <v>K108:K111</v>
      </c>
      <c r="I109" s="33" t="s">
        <v>138</v>
      </c>
      <c r="J109" s="42" t="s">
        <v>95</v>
      </c>
      <c r="K109" s="33" t="s">
        <v>369</v>
      </c>
      <c r="L109" s="42" t="s">
        <v>368</v>
      </c>
      <c r="M109" s="42" t="s">
        <v>310</v>
      </c>
      <c r="N109" s="43" t="str">
        <f t="shared" si="4"/>
        <v>axis|max</v>
      </c>
      <c r="O109" s="31" t="s">
        <v>302</v>
      </c>
      <c r="P109" s="31" t="s">
        <v>302</v>
      </c>
      <c r="Q109" s="31" t="s">
        <v>302</v>
      </c>
      <c r="R109" s="31" t="s">
        <v>302</v>
      </c>
      <c r="S109" s="31" t="s">
        <v>302</v>
      </c>
      <c r="T109" s="31" t="s">
        <v>302</v>
      </c>
      <c r="U109" s="31" t="s">
        <v>302</v>
      </c>
      <c r="V109" s="31" t="s">
        <v>302</v>
      </c>
      <c r="W109" s="31" t="s">
        <v>302</v>
      </c>
      <c r="X109" s="31" t="s">
        <v>302</v>
      </c>
      <c r="Y109" s="31" t="s">
        <v>302</v>
      </c>
      <c r="Z109" s="31" t="s">
        <v>302</v>
      </c>
      <c r="AA109" s="31" t="s">
        <v>302</v>
      </c>
      <c r="AB109" s="31" t="s">
        <v>302</v>
      </c>
      <c r="AC109" s="31"/>
      <c r="AD109" s="31"/>
      <c r="AE109" s="31"/>
      <c r="AF109" s="31"/>
      <c r="AG109" s="31"/>
      <c r="AH109" s="31"/>
      <c r="AI109" s="31"/>
      <c r="AJ109" s="31"/>
      <c r="AK109" s="31"/>
      <c r="AL109" s="31"/>
      <c r="AM109" s="31"/>
      <c r="AN109" s="31"/>
      <c r="AO109" s="31"/>
      <c r="AP109" s="31"/>
      <c r="AQ109" s="31"/>
      <c r="AR109" s="31"/>
      <c r="AS109" s="31"/>
      <c r="AT109" s="31"/>
      <c r="AU109" s="31"/>
    </row>
    <row r="110" spans="7:47" x14ac:dyDescent="0.25">
      <c r="G110" s="37">
        <f t="shared" si="3"/>
        <v>4</v>
      </c>
      <c r="H110" s="37" t="str">
        <f t="shared" si="5"/>
        <v>K108:K111</v>
      </c>
      <c r="I110" s="33" t="s">
        <v>138</v>
      </c>
      <c r="J110" s="42" t="s">
        <v>95</v>
      </c>
      <c r="K110" s="33" t="s">
        <v>367</v>
      </c>
      <c r="L110" s="42" t="s">
        <v>366</v>
      </c>
      <c r="M110" s="42" t="s">
        <v>310</v>
      </c>
      <c r="N110" s="43" t="str">
        <f t="shared" si="4"/>
        <v>axis|min</v>
      </c>
      <c r="O110" s="31" t="s">
        <v>302</v>
      </c>
      <c r="P110" s="31" t="s">
        <v>302</v>
      </c>
      <c r="Q110" s="31" t="s">
        <v>302</v>
      </c>
      <c r="R110" s="31" t="s">
        <v>302</v>
      </c>
      <c r="S110" s="31" t="s">
        <v>302</v>
      </c>
      <c r="T110" s="31" t="s">
        <v>302</v>
      </c>
      <c r="U110" s="31" t="s">
        <v>302</v>
      </c>
      <c r="V110" s="31" t="s">
        <v>302</v>
      </c>
      <c r="W110" s="31" t="s">
        <v>302</v>
      </c>
      <c r="X110" s="31" t="s">
        <v>302</v>
      </c>
      <c r="Y110" s="31" t="s">
        <v>302</v>
      </c>
      <c r="Z110" s="31" t="s">
        <v>302</v>
      </c>
      <c r="AA110" s="31" t="s">
        <v>302</v>
      </c>
      <c r="AB110" s="31" t="s">
        <v>302</v>
      </c>
      <c r="AC110" s="31"/>
      <c r="AD110" s="31" t="s">
        <v>302</v>
      </c>
      <c r="AE110" s="31" t="s">
        <v>302</v>
      </c>
      <c r="AF110" s="31" t="s">
        <v>302</v>
      </c>
      <c r="AG110" s="31" t="s">
        <v>302</v>
      </c>
      <c r="AH110" s="31" t="s">
        <v>302</v>
      </c>
      <c r="AI110" s="31" t="str">
        <f ca="1">IF(AH110="","",INDIRECT("Options!"&amp;AI$1&amp;Elements!#REF!))</f>
        <v/>
      </c>
      <c r="AJ110" s="31"/>
      <c r="AK110" s="31"/>
      <c r="AL110" s="31"/>
      <c r="AM110" s="31"/>
      <c r="AN110" s="31"/>
      <c r="AO110" s="31"/>
      <c r="AP110" s="31"/>
      <c r="AQ110" s="31"/>
      <c r="AR110" s="31"/>
      <c r="AS110" s="31"/>
      <c r="AT110" s="31"/>
      <c r="AU110" s="31"/>
    </row>
    <row r="111" spans="7:47" x14ac:dyDescent="0.25">
      <c r="G111" s="37">
        <f t="shared" si="3"/>
        <v>4</v>
      </c>
      <c r="H111" s="37" t="str">
        <f t="shared" si="5"/>
        <v>K108:K111</v>
      </c>
      <c r="I111" s="33" t="s">
        <v>138</v>
      </c>
      <c r="J111" s="42" t="s">
        <v>95</v>
      </c>
      <c r="K111" s="33" t="s">
        <v>171</v>
      </c>
      <c r="L111" s="42" t="s">
        <v>129</v>
      </c>
      <c r="M111" s="42" t="s">
        <v>310</v>
      </c>
      <c r="N111" s="43" t="str">
        <f t="shared" si="4"/>
        <v>axis|target</v>
      </c>
      <c r="O111" s="31" t="s">
        <v>302</v>
      </c>
      <c r="P111" s="31" t="s">
        <v>302</v>
      </c>
      <c r="Q111" s="31" t="s">
        <v>302</v>
      </c>
      <c r="R111" s="31" t="s">
        <v>302</v>
      </c>
      <c r="S111" s="31" t="s">
        <v>302</v>
      </c>
      <c r="T111" s="31" t="s">
        <v>302</v>
      </c>
      <c r="U111" s="31" t="s">
        <v>302</v>
      </c>
      <c r="V111" s="31" t="s">
        <v>302</v>
      </c>
      <c r="W111" s="31" t="s">
        <v>302</v>
      </c>
      <c r="X111" s="31" t="s">
        <v>302</v>
      </c>
      <c r="Y111" s="31" t="s">
        <v>302</v>
      </c>
      <c r="Z111" s="31" t="s">
        <v>302</v>
      </c>
      <c r="AA111" s="31" t="s">
        <v>302</v>
      </c>
      <c r="AB111" s="31" t="s">
        <v>302</v>
      </c>
      <c r="AC111" s="31"/>
      <c r="AD111" s="31"/>
      <c r="AE111" s="31"/>
      <c r="AF111" s="31"/>
      <c r="AG111" s="31"/>
      <c r="AH111" s="31"/>
      <c r="AI111" s="31"/>
      <c r="AJ111" s="31"/>
      <c r="AK111" s="31"/>
      <c r="AL111" s="31"/>
      <c r="AM111" s="31"/>
      <c r="AN111" s="31"/>
      <c r="AO111" s="31"/>
      <c r="AP111" s="31"/>
      <c r="AQ111" s="31"/>
      <c r="AR111" s="31"/>
      <c r="AS111" s="31"/>
      <c r="AT111" s="31"/>
      <c r="AU111" s="31"/>
    </row>
    <row r="112" spans="7:47" x14ac:dyDescent="0.25">
      <c r="G112" s="37">
        <f t="shared" si="3"/>
        <v>1</v>
      </c>
      <c r="H112" s="37" t="str">
        <f t="shared" si="5"/>
        <v>K112:K112</v>
      </c>
      <c r="I112" s="33" t="s">
        <v>11</v>
      </c>
      <c r="J112" s="42" t="s">
        <v>56</v>
      </c>
      <c r="K112" s="33" t="s">
        <v>435</v>
      </c>
      <c r="L112" s="42" t="s">
        <v>57</v>
      </c>
      <c r="M112" s="42" t="s">
        <v>304</v>
      </c>
      <c r="N112" s="43" t="str">
        <f t="shared" si="4"/>
        <v>general|responsive</v>
      </c>
      <c r="O112" s="31" t="s">
        <v>302</v>
      </c>
      <c r="P112" s="31" t="s">
        <v>302</v>
      </c>
      <c r="Q112" s="31" t="s">
        <v>302</v>
      </c>
      <c r="R112" s="31" t="s">
        <v>302</v>
      </c>
      <c r="S112" s="31" t="s">
        <v>302</v>
      </c>
      <c r="T112" s="31" t="s">
        <v>302</v>
      </c>
      <c r="U112" s="31" t="s">
        <v>302</v>
      </c>
      <c r="V112" s="31" t="s">
        <v>302</v>
      </c>
      <c r="W112" s="31" t="s">
        <v>302</v>
      </c>
      <c r="X112" s="31" t="s">
        <v>302</v>
      </c>
      <c r="Y112" s="31" t="s">
        <v>302</v>
      </c>
      <c r="Z112" s="31" t="s">
        <v>302</v>
      </c>
      <c r="AA112" s="31" t="s">
        <v>302</v>
      </c>
      <c r="AB112" s="31" t="s">
        <v>302</v>
      </c>
      <c r="AC112" s="31" t="s">
        <v>302</v>
      </c>
      <c r="AD112" s="31"/>
      <c r="AE112" s="31"/>
      <c r="AF112" s="31"/>
      <c r="AG112" s="31"/>
      <c r="AH112" s="31"/>
      <c r="AI112" s="31"/>
      <c r="AJ112" s="31"/>
      <c r="AK112" s="31"/>
      <c r="AL112" s="31"/>
      <c r="AM112" s="31"/>
      <c r="AN112" s="31"/>
      <c r="AO112" s="31"/>
      <c r="AP112" s="31"/>
      <c r="AQ112" s="31"/>
      <c r="AR112" s="31"/>
      <c r="AS112" s="31"/>
      <c r="AT112" s="31"/>
      <c r="AU112" s="31"/>
    </row>
    <row r="113" spans="7:47" x14ac:dyDescent="0.25">
      <c r="G113" s="37">
        <f t="shared" si="3"/>
        <v>3</v>
      </c>
      <c r="H113" s="37" t="str">
        <f t="shared" si="5"/>
        <v>K113:K115</v>
      </c>
      <c r="I113" s="33" t="s">
        <v>151</v>
      </c>
      <c r="J113" s="42" t="s">
        <v>107</v>
      </c>
      <c r="K113" s="33" t="s">
        <v>430</v>
      </c>
      <c r="L113" s="42" t="s">
        <v>429</v>
      </c>
      <c r="M113" s="42" t="s">
        <v>304</v>
      </c>
      <c r="N113" s="43" t="str">
        <f t="shared" si="4"/>
        <v>goals|showDistance</v>
      </c>
      <c r="O113" s="31" t="s">
        <v>302</v>
      </c>
      <c r="P113" s="31" t="s">
        <v>302</v>
      </c>
      <c r="Q113" s="31" t="s">
        <v>302</v>
      </c>
      <c r="R113" s="31" t="s">
        <v>302</v>
      </c>
      <c r="S113" s="31" t="s">
        <v>302</v>
      </c>
      <c r="T113" s="31" t="s">
        <v>302</v>
      </c>
      <c r="U113" s="31" t="s">
        <v>302</v>
      </c>
      <c r="V113" s="31" t="s">
        <v>302</v>
      </c>
      <c r="W113" s="31" t="s">
        <v>302</v>
      </c>
      <c r="X113" s="31" t="s">
        <v>302</v>
      </c>
      <c r="Y113" s="31" t="s">
        <v>302</v>
      </c>
      <c r="Z113" s="31" t="s">
        <v>302</v>
      </c>
      <c r="AA113" s="31" t="s">
        <v>302</v>
      </c>
      <c r="AB113" s="31" t="s">
        <v>302</v>
      </c>
      <c r="AC113" s="31"/>
      <c r="AD113" s="31"/>
      <c r="AE113" s="31"/>
      <c r="AF113" s="31"/>
      <c r="AG113" s="31"/>
      <c r="AH113" s="31"/>
      <c r="AI113" s="31"/>
      <c r="AJ113" s="31"/>
      <c r="AK113" s="31"/>
      <c r="AL113" s="31"/>
      <c r="AM113" s="31"/>
      <c r="AN113" s="31"/>
      <c r="AO113" s="31"/>
      <c r="AP113" s="31"/>
      <c r="AQ113" s="31"/>
      <c r="AR113" s="31"/>
      <c r="AS113" s="31"/>
      <c r="AT113" s="31"/>
      <c r="AU113" s="31"/>
    </row>
    <row r="114" spans="7:47" x14ac:dyDescent="0.25">
      <c r="G114" s="37">
        <f t="shared" si="3"/>
        <v>3</v>
      </c>
      <c r="H114" s="37" t="str">
        <f t="shared" si="5"/>
        <v>K113:K115</v>
      </c>
      <c r="I114" s="33" t="s">
        <v>151</v>
      </c>
      <c r="J114" s="42" t="s">
        <v>107</v>
      </c>
      <c r="K114" s="33" t="s">
        <v>428</v>
      </c>
      <c r="L114" s="42" t="s">
        <v>427</v>
      </c>
      <c r="M114" s="42" t="s">
        <v>304</v>
      </c>
      <c r="N114" s="43" t="str">
        <f t="shared" si="4"/>
        <v>goals|showGoal</v>
      </c>
      <c r="O114" s="31" t="s">
        <v>302</v>
      </c>
      <c r="P114" s="31" t="s">
        <v>302</v>
      </c>
      <c r="Q114" s="31" t="s">
        <v>302</v>
      </c>
      <c r="R114" s="31" t="s">
        <v>302</v>
      </c>
      <c r="S114" s="31" t="s">
        <v>302</v>
      </c>
      <c r="T114" s="31" t="s">
        <v>302</v>
      </c>
      <c r="U114" s="31" t="s">
        <v>302</v>
      </c>
      <c r="V114" s="31" t="s">
        <v>302</v>
      </c>
      <c r="W114" s="31" t="s">
        <v>302</v>
      </c>
      <c r="X114" s="31" t="s">
        <v>302</v>
      </c>
      <c r="Y114" s="31" t="s">
        <v>302</v>
      </c>
      <c r="Z114" s="31" t="s">
        <v>302</v>
      </c>
      <c r="AA114" s="31" t="s">
        <v>302</v>
      </c>
      <c r="AB114" s="31" t="s">
        <v>302</v>
      </c>
      <c r="AC114" s="31"/>
      <c r="AD114" s="31"/>
      <c r="AE114" s="31"/>
      <c r="AF114" s="31"/>
      <c r="AG114" s="31"/>
      <c r="AH114" s="31"/>
      <c r="AI114" s="31"/>
      <c r="AJ114" s="31"/>
      <c r="AK114" s="31"/>
      <c r="AL114" s="31"/>
      <c r="AM114" s="31"/>
      <c r="AN114" s="31"/>
      <c r="AO114" s="31"/>
      <c r="AP114" s="31"/>
      <c r="AQ114" s="31"/>
      <c r="AR114" s="31"/>
      <c r="AS114" s="31"/>
      <c r="AT114" s="31"/>
      <c r="AU114" s="31"/>
    </row>
    <row r="115" spans="7:47" x14ac:dyDescent="0.25">
      <c r="G115" s="37">
        <f t="shared" si="3"/>
        <v>3</v>
      </c>
      <c r="H115" s="37" t="str">
        <f t="shared" si="5"/>
        <v>K113:K115</v>
      </c>
      <c r="I115" s="33" t="s">
        <v>151</v>
      </c>
      <c r="J115" s="42" t="s">
        <v>107</v>
      </c>
      <c r="K115" s="33" t="s">
        <v>213</v>
      </c>
      <c r="L115" s="42" t="s">
        <v>54</v>
      </c>
      <c r="M115" s="42" t="s">
        <v>304</v>
      </c>
      <c r="N115" s="43" t="str">
        <f t="shared" si="4"/>
        <v>goals|show</v>
      </c>
      <c r="O115" s="31" t="s">
        <v>302</v>
      </c>
      <c r="P115" s="31" t="s">
        <v>302</v>
      </c>
      <c r="Q115" s="31" t="s">
        <v>302</v>
      </c>
      <c r="R115" s="31" t="s">
        <v>302</v>
      </c>
      <c r="S115" s="31" t="s">
        <v>302</v>
      </c>
      <c r="T115" s="31" t="s">
        <v>302</v>
      </c>
      <c r="U115" s="31" t="s">
        <v>302</v>
      </c>
      <c r="V115" s="31" t="s">
        <v>302</v>
      </c>
      <c r="W115" s="31" t="s">
        <v>302</v>
      </c>
      <c r="X115" s="31" t="s">
        <v>302</v>
      </c>
      <c r="Y115" s="31" t="s">
        <v>302</v>
      </c>
      <c r="Z115" s="31" t="s">
        <v>302</v>
      </c>
      <c r="AA115" s="31" t="s">
        <v>302</v>
      </c>
      <c r="AB115" s="31" t="s">
        <v>302</v>
      </c>
      <c r="AC115" s="31"/>
      <c r="AD115" s="31"/>
      <c r="AE115" s="31"/>
      <c r="AF115" s="31"/>
      <c r="AG115" s="31"/>
      <c r="AH115" s="31"/>
      <c r="AI115" s="31"/>
      <c r="AJ115" s="31"/>
      <c r="AK115" s="31"/>
      <c r="AL115" s="31"/>
      <c r="AM115" s="31"/>
      <c r="AN115" s="31"/>
      <c r="AO115" s="31"/>
      <c r="AP115" s="31"/>
      <c r="AQ115" s="31"/>
      <c r="AR115" s="31"/>
      <c r="AS115" s="31"/>
      <c r="AT115" s="31"/>
      <c r="AU115" s="31"/>
    </row>
    <row r="116" spans="7:47" x14ac:dyDescent="0.25">
      <c r="G116" s="37">
        <f t="shared" si="3"/>
        <v>8</v>
      </c>
      <c r="H116" s="37" t="str">
        <f t="shared" si="5"/>
        <v>K116:K123</v>
      </c>
      <c r="I116" s="33" t="s">
        <v>172</v>
      </c>
      <c r="J116" s="42" t="s">
        <v>130</v>
      </c>
      <c r="K116" s="33" t="s">
        <v>487</v>
      </c>
      <c r="L116" s="42" t="s">
        <v>398</v>
      </c>
      <c r="M116" s="42" t="s">
        <v>304</v>
      </c>
      <c r="N116" s="43" t="str">
        <f t="shared" si="4"/>
        <v>total|applyToHeaders</v>
      </c>
      <c r="O116" s="31" t="s">
        <v>302</v>
      </c>
      <c r="P116" s="31" t="s">
        <v>302</v>
      </c>
      <c r="Q116" s="31" t="s">
        <v>302</v>
      </c>
      <c r="R116" s="31" t="s">
        <v>302</v>
      </c>
      <c r="S116" s="31" t="s">
        <v>302</v>
      </c>
      <c r="T116" s="31" t="s">
        <v>302</v>
      </c>
      <c r="U116" s="31" t="s">
        <v>302</v>
      </c>
      <c r="V116" s="31" t="s">
        <v>302</v>
      </c>
      <c r="W116" s="31" t="s">
        <v>302</v>
      </c>
      <c r="X116" s="31" t="s">
        <v>302</v>
      </c>
      <c r="Y116" s="31" t="s">
        <v>302</v>
      </c>
      <c r="Z116" s="31" t="s">
        <v>302</v>
      </c>
      <c r="AA116" s="31" t="s">
        <v>302</v>
      </c>
      <c r="AB116" s="31" t="s">
        <v>302</v>
      </c>
      <c r="AC116" s="31"/>
      <c r="AD116" s="31"/>
      <c r="AE116" s="31"/>
      <c r="AF116" s="31"/>
      <c r="AG116" s="31"/>
      <c r="AH116" s="31"/>
      <c r="AI116" s="31"/>
      <c r="AJ116" s="31"/>
      <c r="AK116" s="31"/>
      <c r="AL116" s="31"/>
      <c r="AM116" s="31"/>
      <c r="AN116" s="31"/>
      <c r="AO116" s="31"/>
      <c r="AP116" s="31"/>
      <c r="AQ116" s="31"/>
      <c r="AR116" s="31"/>
      <c r="AS116" s="31"/>
      <c r="AT116" s="31"/>
      <c r="AU116" s="31"/>
    </row>
    <row r="117" spans="7:47" x14ac:dyDescent="0.25">
      <c r="G117" s="37">
        <f t="shared" si="3"/>
        <v>8</v>
      </c>
      <c r="H117" s="37" t="str">
        <f t="shared" si="5"/>
        <v>K116:K123</v>
      </c>
      <c r="I117" s="33" t="s">
        <v>172</v>
      </c>
      <c r="J117" s="42" t="s">
        <v>130</v>
      </c>
      <c r="K117" s="33" t="s">
        <v>34</v>
      </c>
      <c r="L117" s="42" t="s">
        <v>389</v>
      </c>
      <c r="M117" s="42" t="s">
        <v>104</v>
      </c>
      <c r="N117" s="43" t="str">
        <f t="shared" si="4"/>
        <v>total|backColor</v>
      </c>
      <c r="O117" s="31" t="s">
        <v>302</v>
      </c>
      <c r="P117" s="31" t="s">
        <v>302</v>
      </c>
      <c r="Q117" s="31" t="s">
        <v>302</v>
      </c>
      <c r="R117" s="31" t="s">
        <v>302</v>
      </c>
      <c r="S117" s="31" t="s">
        <v>302</v>
      </c>
      <c r="T117" s="31" t="s">
        <v>302</v>
      </c>
      <c r="U117" s="31" t="s">
        <v>302</v>
      </c>
      <c r="V117" s="31" t="s">
        <v>302</v>
      </c>
      <c r="W117" s="31" t="s">
        <v>302</v>
      </c>
      <c r="X117" s="31" t="s">
        <v>302</v>
      </c>
      <c r="Y117" s="31" t="s">
        <v>302</v>
      </c>
      <c r="Z117" s="31" t="s">
        <v>302</v>
      </c>
      <c r="AA117" s="31" t="s">
        <v>302</v>
      </c>
      <c r="AB117" s="31" t="s">
        <v>302</v>
      </c>
      <c r="AC117" s="31"/>
      <c r="AD117" s="31"/>
      <c r="AE117" s="31"/>
      <c r="AF117" s="31"/>
      <c r="AG117" s="31"/>
      <c r="AH117" s="31"/>
      <c r="AI117" s="31"/>
      <c r="AJ117" s="31"/>
      <c r="AK117" s="31"/>
      <c r="AL117" s="31"/>
      <c r="AM117" s="31"/>
      <c r="AN117" s="31"/>
      <c r="AO117" s="31"/>
      <c r="AP117" s="31"/>
      <c r="AQ117" s="31"/>
      <c r="AR117" s="31"/>
      <c r="AS117" s="31"/>
      <c r="AT117" s="31"/>
      <c r="AU117" s="31"/>
    </row>
    <row r="118" spans="7:47" x14ac:dyDescent="0.25">
      <c r="G118" s="37">
        <f t="shared" si="3"/>
        <v>8</v>
      </c>
      <c r="H118" s="37" t="str">
        <f t="shared" si="5"/>
        <v>K116:K123</v>
      </c>
      <c r="I118" s="33" t="s">
        <v>172</v>
      </c>
      <c r="J118" s="42" t="s">
        <v>130</v>
      </c>
      <c r="K118" s="33" t="s">
        <v>33</v>
      </c>
      <c r="L118" s="42" t="s">
        <v>211</v>
      </c>
      <c r="M118" s="42" t="s">
        <v>104</v>
      </c>
      <c r="N118" s="43" t="str">
        <f t="shared" si="4"/>
        <v>total|fontColor</v>
      </c>
      <c r="O118" s="31" t="s">
        <v>302</v>
      </c>
      <c r="P118" s="31" t="s">
        <v>302</v>
      </c>
      <c r="Q118" s="31" t="s">
        <v>302</v>
      </c>
      <c r="R118" s="31" t="s">
        <v>302</v>
      </c>
      <c r="S118" s="31" t="s">
        <v>302</v>
      </c>
      <c r="T118" s="31" t="s">
        <v>302</v>
      </c>
      <c r="U118" s="31" t="s">
        <v>302</v>
      </c>
      <c r="V118" s="31" t="s">
        <v>302</v>
      </c>
      <c r="W118" s="31" t="s">
        <v>302</v>
      </c>
      <c r="X118" s="31" t="s">
        <v>302</v>
      </c>
      <c r="Y118" s="31" t="s">
        <v>302</v>
      </c>
      <c r="Z118" s="31" t="s">
        <v>302</v>
      </c>
      <c r="AA118" s="31" t="s">
        <v>302</v>
      </c>
      <c r="AB118" s="31" t="s">
        <v>302</v>
      </c>
      <c r="AC118" s="31"/>
      <c r="AD118" s="31"/>
      <c r="AE118" s="31"/>
      <c r="AF118" s="31"/>
      <c r="AG118" s="31"/>
      <c r="AH118" s="31"/>
      <c r="AI118" s="31"/>
      <c r="AJ118" s="31"/>
      <c r="AK118" s="31"/>
      <c r="AL118" s="31"/>
      <c r="AM118" s="31"/>
      <c r="AN118" s="31"/>
      <c r="AO118" s="31"/>
      <c r="AP118" s="31"/>
      <c r="AQ118" s="31"/>
      <c r="AR118" s="31"/>
      <c r="AS118" s="31"/>
      <c r="AT118" s="31"/>
      <c r="AU118" s="31"/>
    </row>
    <row r="119" spans="7:47" x14ac:dyDescent="0.25">
      <c r="G119" s="37">
        <f t="shared" si="3"/>
        <v>8</v>
      </c>
      <c r="H119" s="37" t="str">
        <f t="shared" si="5"/>
        <v>K116:K123</v>
      </c>
      <c r="I119" s="33" t="s">
        <v>172</v>
      </c>
      <c r="J119" s="42" t="s">
        <v>130</v>
      </c>
      <c r="K119" s="33" t="s">
        <v>17</v>
      </c>
      <c r="L119" s="42" t="s">
        <v>5</v>
      </c>
      <c r="M119" s="42" t="s">
        <v>307</v>
      </c>
      <c r="N119" s="43" t="str">
        <f t="shared" si="4"/>
        <v>total|fontFamily</v>
      </c>
      <c r="O119" s="31" t="s">
        <v>302</v>
      </c>
      <c r="P119" s="31" t="s">
        <v>302</v>
      </c>
      <c r="Q119" s="31" t="s">
        <v>302</v>
      </c>
      <c r="R119" s="31" t="s">
        <v>302</v>
      </c>
      <c r="S119" s="31" t="s">
        <v>302</v>
      </c>
      <c r="T119" s="31" t="s">
        <v>302</v>
      </c>
      <c r="U119" s="31" t="s">
        <v>302</v>
      </c>
      <c r="V119" s="31" t="s">
        <v>302</v>
      </c>
      <c r="W119" s="31" t="s">
        <v>302</v>
      </c>
      <c r="X119" s="31" t="s">
        <v>302</v>
      </c>
      <c r="Y119" s="31" t="s">
        <v>302</v>
      </c>
      <c r="Z119" s="31" t="s">
        <v>302</v>
      </c>
      <c r="AA119" s="31" t="s">
        <v>302</v>
      </c>
      <c r="AB119" s="31" t="s">
        <v>302</v>
      </c>
      <c r="AC119" s="31"/>
      <c r="AD119" s="31"/>
      <c r="AE119" s="31"/>
      <c r="AF119" s="31"/>
      <c r="AG119" s="31"/>
      <c r="AH119" s="31"/>
      <c r="AI119" s="31"/>
      <c r="AJ119" s="31"/>
      <c r="AK119" s="31"/>
      <c r="AL119" s="31"/>
      <c r="AM119" s="31"/>
      <c r="AN119" s="31"/>
      <c r="AO119" s="31"/>
      <c r="AP119" s="31"/>
      <c r="AQ119" s="31"/>
      <c r="AR119" s="31"/>
      <c r="AS119" s="31"/>
      <c r="AT119" s="31"/>
      <c r="AU119" s="31"/>
    </row>
    <row r="120" spans="7:47" x14ac:dyDescent="0.25">
      <c r="G120" s="37">
        <f t="shared" si="3"/>
        <v>8</v>
      </c>
      <c r="H120" s="37" t="str">
        <f t="shared" si="5"/>
        <v>K116:K123</v>
      </c>
      <c r="I120" s="33" t="s">
        <v>172</v>
      </c>
      <c r="J120" s="42" t="s">
        <v>130</v>
      </c>
      <c r="K120" s="33" t="s">
        <v>358</v>
      </c>
      <c r="L120" s="42" t="s">
        <v>236</v>
      </c>
      <c r="M120" s="42" t="s">
        <v>305</v>
      </c>
      <c r="N120" s="43" t="str">
        <f t="shared" si="4"/>
        <v>total|outline</v>
      </c>
      <c r="O120" s="31" t="s">
        <v>51</v>
      </c>
      <c r="P120" s="31" t="s">
        <v>283</v>
      </c>
      <c r="Q120" s="31" t="s">
        <v>284</v>
      </c>
      <c r="R120" s="31" t="s">
        <v>285</v>
      </c>
      <c r="S120" s="31" t="s">
        <v>286</v>
      </c>
      <c r="T120" s="31" t="s">
        <v>287</v>
      </c>
      <c r="U120" s="31" t="s">
        <v>288</v>
      </c>
      <c r="V120" s="31" t="s">
        <v>238</v>
      </c>
      <c r="W120" s="31"/>
      <c r="X120" s="31"/>
      <c r="Y120" s="31"/>
      <c r="Z120" s="31"/>
      <c r="AA120" s="31"/>
      <c r="AB120" s="31"/>
      <c r="AC120" s="31"/>
      <c r="AD120" s="31"/>
      <c r="AE120" s="31"/>
      <c r="AF120" s="31"/>
      <c r="AG120" s="31"/>
      <c r="AH120" s="31"/>
      <c r="AI120" s="31"/>
      <c r="AJ120" s="31"/>
      <c r="AK120" s="31"/>
      <c r="AL120" s="31"/>
      <c r="AM120" s="31"/>
      <c r="AN120" s="31"/>
      <c r="AO120" s="31"/>
      <c r="AP120" s="31"/>
      <c r="AQ120" s="31"/>
      <c r="AR120" s="31"/>
      <c r="AS120" s="31"/>
      <c r="AT120" s="31"/>
      <c r="AU120" s="31"/>
    </row>
    <row r="121" spans="7:47" x14ac:dyDescent="0.25">
      <c r="G121" s="37">
        <f t="shared" si="3"/>
        <v>8</v>
      </c>
      <c r="H121" s="37" t="str">
        <f t="shared" si="5"/>
        <v>K116:K123</v>
      </c>
      <c r="I121" s="33" t="s">
        <v>172</v>
      </c>
      <c r="J121" s="42" t="s">
        <v>130</v>
      </c>
      <c r="K121" s="33" t="s">
        <v>486</v>
      </c>
      <c r="L121" s="42" t="s">
        <v>397</v>
      </c>
      <c r="M121" s="42" t="s">
        <v>304</v>
      </c>
      <c r="N121" s="43" t="str">
        <f t="shared" si="4"/>
        <v>total|valuesOnRow</v>
      </c>
      <c r="O121" s="31" t="s">
        <v>302</v>
      </c>
      <c r="P121" s="31" t="s">
        <v>302</v>
      </c>
      <c r="Q121" s="31" t="s">
        <v>302</v>
      </c>
      <c r="R121" s="31" t="s">
        <v>302</v>
      </c>
      <c r="S121" s="31" t="s">
        <v>302</v>
      </c>
      <c r="T121" s="31" t="s">
        <v>302</v>
      </c>
      <c r="U121" s="31" t="s">
        <v>302</v>
      </c>
      <c r="V121" s="31" t="s">
        <v>302</v>
      </c>
      <c r="W121" s="31" t="s">
        <v>302</v>
      </c>
      <c r="X121" s="31" t="s">
        <v>302</v>
      </c>
      <c r="Y121" s="31" t="s">
        <v>302</v>
      </c>
      <c r="Z121" s="31" t="s">
        <v>302</v>
      </c>
      <c r="AA121" s="31" t="s">
        <v>302</v>
      </c>
      <c r="AB121" s="31" t="s">
        <v>302</v>
      </c>
      <c r="AC121" s="31"/>
      <c r="AD121" s="31"/>
      <c r="AE121" s="31"/>
      <c r="AF121" s="31"/>
      <c r="AG121" s="31"/>
      <c r="AH121" s="31"/>
      <c r="AI121" s="31"/>
      <c r="AJ121" s="31"/>
      <c r="AK121" s="31"/>
      <c r="AL121" s="31"/>
      <c r="AM121" s="31"/>
      <c r="AN121" s="31"/>
      <c r="AO121" s="31"/>
      <c r="AP121" s="31"/>
      <c r="AQ121" s="31"/>
      <c r="AR121" s="31"/>
      <c r="AS121" s="31"/>
      <c r="AT121" s="31"/>
      <c r="AU121" s="31"/>
    </row>
    <row r="122" spans="7:47" x14ac:dyDescent="0.25">
      <c r="G122" s="37">
        <f t="shared" si="3"/>
        <v>8</v>
      </c>
      <c r="H122" s="37" t="str">
        <f t="shared" si="5"/>
        <v>K116:K123</v>
      </c>
      <c r="I122" s="33" t="s">
        <v>172</v>
      </c>
      <c r="J122" s="42" t="s">
        <v>130</v>
      </c>
      <c r="K122" s="33" t="s">
        <v>16</v>
      </c>
      <c r="L122" s="42" t="s">
        <v>4</v>
      </c>
      <c r="M122" s="42" t="s">
        <v>307</v>
      </c>
      <c r="N122" s="43" t="str">
        <f t="shared" si="4"/>
        <v>total|fontSize</v>
      </c>
      <c r="O122" s="31" t="s">
        <v>302</v>
      </c>
      <c r="P122" s="31" t="s">
        <v>302</v>
      </c>
      <c r="Q122" s="31" t="s">
        <v>302</v>
      </c>
      <c r="R122" s="31" t="s">
        <v>302</v>
      </c>
      <c r="S122" s="31" t="s">
        <v>302</v>
      </c>
      <c r="T122" s="31" t="s">
        <v>302</v>
      </c>
      <c r="U122" s="31" t="s">
        <v>302</v>
      </c>
      <c r="V122" s="31" t="s">
        <v>302</v>
      </c>
      <c r="W122" s="31" t="s">
        <v>302</v>
      </c>
      <c r="X122" s="31" t="s">
        <v>302</v>
      </c>
      <c r="Y122" s="31" t="s">
        <v>302</v>
      </c>
      <c r="Z122" s="31" t="s">
        <v>302</v>
      </c>
      <c r="AA122" s="31" t="s">
        <v>302</v>
      </c>
      <c r="AB122" s="31" t="s">
        <v>302</v>
      </c>
      <c r="AC122" s="31"/>
      <c r="AD122" s="31"/>
      <c r="AE122" s="31"/>
      <c r="AF122" s="31"/>
      <c r="AG122" s="31"/>
      <c r="AH122" s="31"/>
      <c r="AI122" s="31"/>
      <c r="AJ122" s="31"/>
      <c r="AK122" s="31"/>
      <c r="AL122" s="31"/>
      <c r="AM122" s="31"/>
      <c r="AN122" s="31"/>
      <c r="AO122" s="31"/>
      <c r="AP122" s="31"/>
      <c r="AQ122" s="31"/>
      <c r="AR122" s="31"/>
      <c r="AS122" s="31"/>
      <c r="AT122" s="31"/>
      <c r="AU122" s="31"/>
    </row>
    <row r="123" spans="7:47" x14ac:dyDescent="0.25">
      <c r="G123" s="37">
        <f t="shared" si="3"/>
        <v>8</v>
      </c>
      <c r="H123" s="37" t="str">
        <f t="shared" si="5"/>
        <v>K116:K123</v>
      </c>
      <c r="I123" s="33" t="s">
        <v>172</v>
      </c>
      <c r="J123" s="42" t="s">
        <v>130</v>
      </c>
      <c r="K123" s="33" t="s">
        <v>400</v>
      </c>
      <c r="L123" s="42" t="s">
        <v>399</v>
      </c>
      <c r="M123" s="42" t="s">
        <v>304</v>
      </c>
      <c r="N123" s="43" t="str">
        <f t="shared" si="4"/>
        <v>total|totals</v>
      </c>
      <c r="O123" s="31" t="s">
        <v>302</v>
      </c>
      <c r="P123" s="31" t="s">
        <v>302</v>
      </c>
      <c r="Q123" s="31" t="s">
        <v>302</v>
      </c>
      <c r="R123" s="31" t="s">
        <v>302</v>
      </c>
      <c r="S123" s="31" t="s">
        <v>302</v>
      </c>
      <c r="T123" s="31" t="s">
        <v>302</v>
      </c>
      <c r="U123" s="31" t="s">
        <v>302</v>
      </c>
      <c r="V123" s="31" t="s">
        <v>302</v>
      </c>
      <c r="W123" s="31" t="s">
        <v>302</v>
      </c>
      <c r="X123" s="31" t="s">
        <v>302</v>
      </c>
      <c r="Y123" s="31" t="s">
        <v>302</v>
      </c>
      <c r="Z123" s="31" t="s">
        <v>302</v>
      </c>
      <c r="AA123" s="31" t="s">
        <v>302</v>
      </c>
      <c r="AB123" s="31" t="s">
        <v>302</v>
      </c>
      <c r="AC123" s="31"/>
      <c r="AD123" s="31"/>
      <c r="AE123" s="31"/>
      <c r="AF123" s="31"/>
      <c r="AG123" s="31"/>
      <c r="AH123" s="31"/>
      <c r="AI123" s="31"/>
      <c r="AJ123" s="31"/>
      <c r="AK123" s="31"/>
      <c r="AL123" s="31"/>
      <c r="AM123" s="31"/>
      <c r="AN123" s="31"/>
      <c r="AO123" s="31"/>
      <c r="AP123" s="31"/>
      <c r="AQ123" s="31"/>
      <c r="AR123" s="31"/>
      <c r="AS123" s="31"/>
      <c r="AT123" s="31"/>
      <c r="AU123" s="31"/>
    </row>
    <row r="124" spans="7:47" x14ac:dyDescent="0.25">
      <c r="G124" s="37">
        <f t="shared" si="3"/>
        <v>12</v>
      </c>
      <c r="H124" s="37" t="str">
        <f t="shared" si="5"/>
        <v>K124:K135</v>
      </c>
      <c r="I124" s="33" t="s">
        <v>152</v>
      </c>
      <c r="J124" s="42" t="s">
        <v>108</v>
      </c>
      <c r="K124" s="33" t="s">
        <v>475</v>
      </c>
      <c r="L124" s="42" t="s">
        <v>382</v>
      </c>
      <c r="M124" s="42" t="s">
        <v>304</v>
      </c>
      <c r="N124" s="43" t="str">
        <f t="shared" si="4"/>
        <v>grid|gridHorizontal</v>
      </c>
      <c r="O124" s="31" t="s">
        <v>302</v>
      </c>
      <c r="P124" s="31" t="s">
        <v>302</v>
      </c>
      <c r="Q124" s="31" t="s">
        <v>302</v>
      </c>
      <c r="R124" s="31" t="s">
        <v>302</v>
      </c>
      <c r="S124" s="31" t="s">
        <v>302</v>
      </c>
      <c r="T124" s="31" t="s">
        <v>302</v>
      </c>
      <c r="U124" s="31" t="s">
        <v>302</v>
      </c>
      <c r="V124" s="31" t="s">
        <v>302</v>
      </c>
      <c r="W124" s="31" t="s">
        <v>302</v>
      </c>
      <c r="X124" s="31" t="s">
        <v>302</v>
      </c>
      <c r="Y124" s="31" t="s">
        <v>302</v>
      </c>
      <c r="Z124" s="31" t="s">
        <v>302</v>
      </c>
      <c r="AA124" s="31" t="s">
        <v>302</v>
      </c>
      <c r="AB124" s="31" t="s">
        <v>302</v>
      </c>
      <c r="AC124" s="31"/>
      <c r="AD124" s="31"/>
      <c r="AE124" s="31"/>
      <c r="AF124" s="31"/>
      <c r="AG124" s="31"/>
      <c r="AH124" s="31"/>
      <c r="AI124" s="31"/>
      <c r="AJ124" s="31"/>
      <c r="AK124" s="31"/>
      <c r="AL124" s="31"/>
      <c r="AM124" s="31"/>
      <c r="AN124" s="31"/>
      <c r="AO124" s="31"/>
      <c r="AP124" s="31"/>
      <c r="AQ124" s="31"/>
      <c r="AR124" s="31"/>
      <c r="AS124" s="31"/>
      <c r="AT124" s="31"/>
      <c r="AU124" s="31"/>
    </row>
    <row r="125" spans="7:47" x14ac:dyDescent="0.25">
      <c r="G125" s="37">
        <f t="shared" si="3"/>
        <v>12</v>
      </c>
      <c r="H125" s="37" t="str">
        <f t="shared" si="5"/>
        <v>K124:K135</v>
      </c>
      <c r="I125" s="33" t="s">
        <v>152</v>
      </c>
      <c r="J125" s="42" t="s">
        <v>108</v>
      </c>
      <c r="K125" s="33" t="s">
        <v>476</v>
      </c>
      <c r="L125" s="42" t="s">
        <v>383</v>
      </c>
      <c r="M125" s="42" t="s">
        <v>104</v>
      </c>
      <c r="N125" s="43" t="str">
        <f t="shared" si="4"/>
        <v>grid|gridHorizontalColor</v>
      </c>
      <c r="O125" s="31" t="s">
        <v>302</v>
      </c>
      <c r="P125" s="31" t="s">
        <v>302</v>
      </c>
      <c r="Q125" s="31" t="s">
        <v>302</v>
      </c>
      <c r="R125" s="31" t="s">
        <v>302</v>
      </c>
      <c r="S125" s="31" t="s">
        <v>302</v>
      </c>
      <c r="T125" s="31" t="s">
        <v>302</v>
      </c>
      <c r="U125" s="31" t="s">
        <v>302</v>
      </c>
      <c r="V125" s="31" t="s">
        <v>302</v>
      </c>
      <c r="W125" s="31" t="s">
        <v>302</v>
      </c>
      <c r="X125" s="31" t="s">
        <v>302</v>
      </c>
      <c r="Y125" s="31" t="s">
        <v>302</v>
      </c>
      <c r="Z125" s="31" t="s">
        <v>302</v>
      </c>
      <c r="AA125" s="31" t="s">
        <v>302</v>
      </c>
      <c r="AB125" s="31" t="s">
        <v>302</v>
      </c>
      <c r="AC125" s="31"/>
      <c r="AD125" s="31"/>
      <c r="AE125" s="31"/>
      <c r="AF125" s="31"/>
      <c r="AG125" s="31"/>
      <c r="AH125" s="31"/>
      <c r="AI125" s="31"/>
      <c r="AJ125" s="31"/>
      <c r="AK125" s="31"/>
      <c r="AL125" s="31"/>
      <c r="AM125" s="31"/>
      <c r="AN125" s="31"/>
      <c r="AO125" s="31"/>
      <c r="AP125" s="31"/>
      <c r="AQ125" s="31"/>
      <c r="AR125" s="31"/>
      <c r="AS125" s="31"/>
      <c r="AT125" s="31"/>
      <c r="AU125" s="31"/>
    </row>
    <row r="126" spans="7:47" x14ac:dyDescent="0.25">
      <c r="G126" s="37">
        <f t="shared" si="3"/>
        <v>12</v>
      </c>
      <c r="H126" s="37" t="str">
        <f t="shared" si="5"/>
        <v>K124:K135</v>
      </c>
      <c r="I126" s="33" t="s">
        <v>152</v>
      </c>
      <c r="J126" s="42" t="s">
        <v>108</v>
      </c>
      <c r="K126" s="33" t="s">
        <v>477</v>
      </c>
      <c r="L126" s="42" t="s">
        <v>384</v>
      </c>
      <c r="M126" s="42" t="s">
        <v>310</v>
      </c>
      <c r="N126" s="43" t="str">
        <f t="shared" si="4"/>
        <v>grid|gridHorizontalWeight</v>
      </c>
      <c r="O126" s="31" t="s">
        <v>302</v>
      </c>
      <c r="P126" s="31" t="s">
        <v>302</v>
      </c>
      <c r="Q126" s="31" t="s">
        <v>302</v>
      </c>
      <c r="R126" s="31" t="s">
        <v>302</v>
      </c>
      <c r="S126" s="31" t="s">
        <v>302</v>
      </c>
      <c r="T126" s="31" t="s">
        <v>302</v>
      </c>
      <c r="U126" s="31" t="s">
        <v>302</v>
      </c>
      <c r="V126" s="31" t="s">
        <v>302</v>
      </c>
      <c r="W126" s="31" t="s">
        <v>302</v>
      </c>
      <c r="X126" s="31" t="s">
        <v>302</v>
      </c>
      <c r="Y126" s="31" t="s">
        <v>302</v>
      </c>
      <c r="Z126" s="31" t="s">
        <v>302</v>
      </c>
      <c r="AA126" s="31" t="s">
        <v>302</v>
      </c>
      <c r="AB126" s="31" t="s">
        <v>302</v>
      </c>
      <c r="AC126" s="31"/>
      <c r="AD126" s="31"/>
      <c r="AE126" s="31"/>
      <c r="AF126" s="31"/>
      <c r="AG126" s="31"/>
      <c r="AH126" s="31"/>
      <c r="AI126" s="31"/>
      <c r="AJ126" s="31"/>
      <c r="AK126" s="31"/>
      <c r="AL126" s="31"/>
      <c r="AM126" s="31"/>
      <c r="AN126" s="31"/>
      <c r="AO126" s="31"/>
      <c r="AP126" s="31"/>
      <c r="AQ126" s="31"/>
      <c r="AR126" s="31"/>
      <c r="AS126" s="31"/>
      <c r="AT126" s="31"/>
      <c r="AU126" s="31"/>
    </row>
    <row r="127" spans="7:47" x14ac:dyDescent="0.25">
      <c r="G127" s="37">
        <f t="shared" si="3"/>
        <v>12</v>
      </c>
      <c r="H127" s="37" t="str">
        <f t="shared" si="5"/>
        <v>K124:K135</v>
      </c>
      <c r="I127" s="33" t="s">
        <v>152</v>
      </c>
      <c r="J127" s="42" t="s">
        <v>108</v>
      </c>
      <c r="K127" s="33" t="s">
        <v>479</v>
      </c>
      <c r="L127" s="42" t="s">
        <v>386</v>
      </c>
      <c r="M127" s="42" t="s">
        <v>310</v>
      </c>
      <c r="N127" s="43" t="str">
        <f t="shared" si="4"/>
        <v>grid|imageHeight</v>
      </c>
      <c r="O127" s="31" t="s">
        <v>302</v>
      </c>
      <c r="P127" s="31" t="s">
        <v>302</v>
      </c>
      <c r="Q127" s="31" t="s">
        <v>302</v>
      </c>
      <c r="R127" s="31" t="s">
        <v>302</v>
      </c>
      <c r="S127" s="31" t="s">
        <v>302</v>
      </c>
      <c r="T127" s="31" t="s">
        <v>302</v>
      </c>
      <c r="U127" s="31" t="s">
        <v>302</v>
      </c>
      <c r="V127" s="31" t="s">
        <v>302</v>
      </c>
      <c r="W127" s="31" t="s">
        <v>302</v>
      </c>
      <c r="X127" s="31" t="s">
        <v>302</v>
      </c>
      <c r="Y127" s="31" t="s">
        <v>302</v>
      </c>
      <c r="Z127" s="31" t="s">
        <v>302</v>
      </c>
      <c r="AA127" s="31" t="s">
        <v>302</v>
      </c>
      <c r="AB127" s="31" t="s">
        <v>302</v>
      </c>
      <c r="AC127" s="31"/>
      <c r="AD127" s="31"/>
      <c r="AE127" s="31"/>
      <c r="AF127" s="31"/>
      <c r="AG127" s="31"/>
      <c r="AH127" s="31"/>
      <c r="AI127" s="31"/>
      <c r="AJ127" s="31"/>
      <c r="AK127" s="31"/>
      <c r="AL127" s="31"/>
      <c r="AM127" s="31"/>
      <c r="AN127" s="31"/>
      <c r="AO127" s="31"/>
      <c r="AP127" s="31"/>
      <c r="AQ127" s="31"/>
      <c r="AR127" s="31"/>
      <c r="AS127" s="31"/>
      <c r="AT127" s="31"/>
      <c r="AU127" s="31"/>
    </row>
    <row r="128" spans="7:47" x14ac:dyDescent="0.25">
      <c r="G128" s="37">
        <f t="shared" si="3"/>
        <v>12</v>
      </c>
      <c r="H128" s="37" t="str">
        <f t="shared" si="5"/>
        <v>K124:K135</v>
      </c>
      <c r="I128" s="33" t="s">
        <v>152</v>
      </c>
      <c r="J128" s="42" t="s">
        <v>108</v>
      </c>
      <c r="K128" s="33" t="s">
        <v>30</v>
      </c>
      <c r="L128" s="42" t="s">
        <v>231</v>
      </c>
      <c r="M128" s="42" t="s">
        <v>305</v>
      </c>
      <c r="N128" s="43" t="str">
        <f t="shared" si="4"/>
        <v>grid|style</v>
      </c>
      <c r="O128" s="31" t="s">
        <v>302</v>
      </c>
      <c r="P128" s="31" t="s">
        <v>302</v>
      </c>
      <c r="Q128" s="31" t="s">
        <v>302</v>
      </c>
      <c r="R128" s="31" t="s">
        <v>302</v>
      </c>
      <c r="S128" s="31" t="s">
        <v>302</v>
      </c>
      <c r="T128" s="31" t="s">
        <v>302</v>
      </c>
      <c r="U128" s="31" t="s">
        <v>302</v>
      </c>
      <c r="V128" s="31" t="s">
        <v>302</v>
      </c>
      <c r="W128" s="31" t="s">
        <v>302</v>
      </c>
      <c r="X128" s="31" t="s">
        <v>302</v>
      </c>
      <c r="Y128" s="31" t="s">
        <v>302</v>
      </c>
      <c r="Z128" s="31" t="s">
        <v>302</v>
      </c>
      <c r="AA128" s="31" t="s">
        <v>302</v>
      </c>
      <c r="AB128" s="31" t="s">
        <v>302</v>
      </c>
      <c r="AC128" s="31"/>
      <c r="AD128" s="31"/>
      <c r="AE128" s="31"/>
      <c r="AF128" s="31"/>
      <c r="AG128" s="31"/>
      <c r="AH128" s="31"/>
      <c r="AI128" s="31"/>
      <c r="AJ128" s="31"/>
      <c r="AK128" s="31"/>
      <c r="AL128" s="31"/>
      <c r="AM128" s="31"/>
      <c r="AN128" s="31"/>
      <c r="AO128" s="31"/>
      <c r="AP128" s="31"/>
      <c r="AQ128" s="31"/>
      <c r="AR128" s="31"/>
      <c r="AS128" s="31"/>
      <c r="AT128" s="31"/>
      <c r="AU128" s="31"/>
    </row>
    <row r="129" spans="7:47" x14ac:dyDescent="0.25">
      <c r="G129" s="37">
        <f t="shared" si="3"/>
        <v>12</v>
      </c>
      <c r="H129" s="37" t="str">
        <f t="shared" si="5"/>
        <v>K124:K135</v>
      </c>
      <c r="I129" s="33" t="s">
        <v>152</v>
      </c>
      <c r="J129" s="42" t="s">
        <v>108</v>
      </c>
      <c r="K129" s="33" t="s">
        <v>461</v>
      </c>
      <c r="L129" s="42" t="s">
        <v>359</v>
      </c>
      <c r="M129" s="42" t="s">
        <v>104</v>
      </c>
      <c r="N129" s="43" t="str">
        <f t="shared" si="4"/>
        <v>grid|outlineColor</v>
      </c>
      <c r="O129" s="31" t="s">
        <v>302</v>
      </c>
      <c r="P129" s="31" t="s">
        <v>302</v>
      </c>
      <c r="Q129" s="31" t="s">
        <v>302</v>
      </c>
      <c r="R129" s="31" t="s">
        <v>302</v>
      </c>
      <c r="S129" s="31" t="s">
        <v>302</v>
      </c>
      <c r="T129" s="31" t="s">
        <v>302</v>
      </c>
      <c r="U129" s="31" t="s">
        <v>302</v>
      </c>
      <c r="V129" s="31" t="s">
        <v>302</v>
      </c>
      <c r="W129" s="31" t="s">
        <v>302</v>
      </c>
      <c r="X129" s="31" t="s">
        <v>302</v>
      </c>
      <c r="Y129" s="31" t="s">
        <v>302</v>
      </c>
      <c r="Z129" s="31" t="s">
        <v>302</v>
      </c>
      <c r="AA129" s="31" t="s">
        <v>302</v>
      </c>
      <c r="AB129" s="31" t="s">
        <v>302</v>
      </c>
      <c r="AC129" s="31"/>
      <c r="AD129" s="31"/>
      <c r="AE129" s="31"/>
      <c r="AF129" s="31"/>
      <c r="AG129" s="31"/>
      <c r="AH129" s="31"/>
      <c r="AI129" s="31"/>
      <c r="AJ129" s="31"/>
      <c r="AK129" s="31"/>
      <c r="AL129" s="31"/>
      <c r="AM129" s="31"/>
      <c r="AN129" s="31"/>
      <c r="AO129" s="31"/>
      <c r="AP129" s="31"/>
      <c r="AQ129" s="31"/>
      <c r="AR129" s="31"/>
      <c r="AS129" s="31"/>
      <c r="AT129" s="31"/>
      <c r="AU129" s="31"/>
    </row>
    <row r="130" spans="7:47" x14ac:dyDescent="0.25">
      <c r="G130" s="37">
        <f t="shared" si="3"/>
        <v>12</v>
      </c>
      <c r="H130" s="37" t="str">
        <f t="shared" si="5"/>
        <v>K124:K135</v>
      </c>
      <c r="I130" s="33" t="s">
        <v>152</v>
      </c>
      <c r="J130" s="42" t="s">
        <v>108</v>
      </c>
      <c r="K130" s="33" t="s">
        <v>462</v>
      </c>
      <c r="L130" s="42" t="s">
        <v>360</v>
      </c>
      <c r="M130" s="42" t="s">
        <v>310</v>
      </c>
      <c r="N130" s="43" t="str">
        <f t="shared" si="4"/>
        <v>grid|outlineWeight</v>
      </c>
      <c r="O130" s="31" t="s">
        <v>302</v>
      </c>
      <c r="P130" s="31" t="s">
        <v>302</v>
      </c>
      <c r="Q130" s="31" t="s">
        <v>302</v>
      </c>
      <c r="R130" s="31" t="s">
        <v>302</v>
      </c>
      <c r="S130" s="31" t="s">
        <v>302</v>
      </c>
      <c r="T130" s="31" t="s">
        <v>302</v>
      </c>
      <c r="U130" s="31" t="s">
        <v>302</v>
      </c>
      <c r="V130" s="31" t="s">
        <v>302</v>
      </c>
      <c r="W130" s="31" t="s">
        <v>302</v>
      </c>
      <c r="X130" s="31" t="s">
        <v>302</v>
      </c>
      <c r="Y130" s="31" t="s">
        <v>302</v>
      </c>
      <c r="Z130" s="31" t="s">
        <v>302</v>
      </c>
      <c r="AA130" s="31" t="s">
        <v>302</v>
      </c>
      <c r="AB130" s="31" t="s">
        <v>302</v>
      </c>
      <c r="AC130" s="31"/>
      <c r="AD130" s="31"/>
      <c r="AE130" s="31"/>
      <c r="AF130" s="31"/>
      <c r="AG130" s="31"/>
      <c r="AH130" s="31"/>
      <c r="AI130" s="31"/>
      <c r="AJ130" s="31"/>
      <c r="AK130" s="31"/>
      <c r="AL130" s="31"/>
      <c r="AM130" s="31"/>
      <c r="AN130" s="31"/>
      <c r="AO130" s="31"/>
      <c r="AP130" s="31"/>
      <c r="AQ130" s="31"/>
      <c r="AR130" s="31"/>
      <c r="AS130" s="31"/>
      <c r="AT130" s="31"/>
      <c r="AU130" s="31"/>
    </row>
    <row r="131" spans="7:47" x14ac:dyDescent="0.25">
      <c r="G131" s="37">
        <f t="shared" si="3"/>
        <v>12</v>
      </c>
      <c r="H131" s="37" t="str">
        <f t="shared" si="5"/>
        <v>K124:K135</v>
      </c>
      <c r="I131" s="33" t="s">
        <v>152</v>
      </c>
      <c r="J131" s="42" t="s">
        <v>108</v>
      </c>
      <c r="K131" s="33" t="s">
        <v>478</v>
      </c>
      <c r="L131" s="42" t="s">
        <v>385</v>
      </c>
      <c r="M131" s="42" t="s">
        <v>310</v>
      </c>
      <c r="N131" s="43" t="str">
        <f t="shared" si="4"/>
        <v>grid|rowPadding</v>
      </c>
      <c r="O131" s="31" t="s">
        <v>302</v>
      </c>
      <c r="P131" s="31" t="s">
        <v>302</v>
      </c>
      <c r="Q131" s="31" t="s">
        <v>302</v>
      </c>
      <c r="R131" s="31" t="s">
        <v>302</v>
      </c>
      <c r="S131" s="31" t="s">
        <v>302</v>
      </c>
      <c r="T131" s="31" t="s">
        <v>302</v>
      </c>
      <c r="U131" s="31" t="s">
        <v>302</v>
      </c>
      <c r="V131" s="31" t="s">
        <v>302</v>
      </c>
      <c r="W131" s="31" t="s">
        <v>302</v>
      </c>
      <c r="X131" s="31" t="s">
        <v>302</v>
      </c>
      <c r="Y131" s="31" t="s">
        <v>302</v>
      </c>
      <c r="Z131" s="31" t="s">
        <v>302</v>
      </c>
      <c r="AA131" s="31" t="s">
        <v>302</v>
      </c>
      <c r="AB131" s="31" t="s">
        <v>302</v>
      </c>
      <c r="AC131" s="31"/>
      <c r="AD131" s="31"/>
      <c r="AE131" s="31"/>
      <c r="AF131" s="31"/>
      <c r="AG131" s="31"/>
      <c r="AH131" s="31"/>
      <c r="AI131" s="31"/>
      <c r="AJ131" s="31"/>
      <c r="AK131" s="31"/>
      <c r="AL131" s="31"/>
      <c r="AM131" s="31"/>
      <c r="AN131" s="31"/>
      <c r="AO131" s="31"/>
      <c r="AP131" s="31"/>
      <c r="AQ131" s="31"/>
      <c r="AR131" s="31"/>
      <c r="AS131" s="31"/>
      <c r="AT131" s="31"/>
      <c r="AU131" s="31"/>
    </row>
    <row r="132" spans="7:47" x14ac:dyDescent="0.25">
      <c r="G132" s="37">
        <f t="shared" si="3"/>
        <v>12</v>
      </c>
      <c r="H132" s="37" t="str">
        <f t="shared" si="5"/>
        <v>K124:K135</v>
      </c>
      <c r="I132" s="33" t="s">
        <v>152</v>
      </c>
      <c r="J132" s="42" t="s">
        <v>108</v>
      </c>
      <c r="K132" s="33" t="s">
        <v>16</v>
      </c>
      <c r="L132" s="42" t="s">
        <v>388</v>
      </c>
      <c r="M132" s="42" t="s">
        <v>310</v>
      </c>
      <c r="N132" s="43" t="str">
        <f t="shared" si="4"/>
        <v>grid|textSize</v>
      </c>
      <c r="O132" s="31" t="s">
        <v>302</v>
      </c>
      <c r="P132" s="31" t="s">
        <v>302</v>
      </c>
      <c r="Q132" s="31" t="s">
        <v>302</v>
      </c>
      <c r="R132" s="31" t="s">
        <v>302</v>
      </c>
      <c r="S132" s="31" t="s">
        <v>302</v>
      </c>
      <c r="T132" s="31" t="s">
        <v>302</v>
      </c>
      <c r="U132" s="31" t="s">
        <v>302</v>
      </c>
      <c r="V132" s="31" t="s">
        <v>302</v>
      </c>
      <c r="W132" s="31" t="s">
        <v>302</v>
      </c>
      <c r="X132" s="31" t="s">
        <v>302</v>
      </c>
      <c r="Y132" s="31" t="s">
        <v>302</v>
      </c>
      <c r="Z132" s="31" t="s">
        <v>302</v>
      </c>
      <c r="AA132" s="31" t="s">
        <v>302</v>
      </c>
      <c r="AB132" s="31" t="s">
        <v>302</v>
      </c>
      <c r="AC132" s="31"/>
      <c r="AD132" s="31"/>
      <c r="AE132" s="31"/>
      <c r="AF132" s="31"/>
      <c r="AG132" s="31"/>
      <c r="AH132" s="31"/>
      <c r="AI132" s="31"/>
      <c r="AJ132" s="31"/>
      <c r="AK132" s="31"/>
      <c r="AL132" s="31"/>
      <c r="AM132" s="31"/>
      <c r="AN132" s="31"/>
      <c r="AO132" s="31"/>
      <c r="AP132" s="31"/>
      <c r="AQ132" s="31"/>
      <c r="AR132" s="31"/>
      <c r="AS132" s="31"/>
      <c r="AT132" s="31"/>
      <c r="AU132" s="31"/>
    </row>
    <row r="133" spans="7:47" x14ac:dyDescent="0.25">
      <c r="G133" s="37">
        <f t="shared" ref="G133:G196" si="6">COUNTIF(I:I,I133)</f>
        <v>12</v>
      </c>
      <c r="H133" s="37" t="str">
        <f t="shared" si="5"/>
        <v>K124:K135</v>
      </c>
      <c r="I133" s="33" t="s">
        <v>152</v>
      </c>
      <c r="J133" s="42" t="s">
        <v>108</v>
      </c>
      <c r="K133" s="33" t="s">
        <v>472</v>
      </c>
      <c r="L133" s="42" t="s">
        <v>379</v>
      </c>
      <c r="M133" s="42" t="s">
        <v>304</v>
      </c>
      <c r="N133" s="43" t="str">
        <f t="shared" ref="N133:N196" si="7">J133&amp;"|"&amp;L133</f>
        <v>grid|gridVertical</v>
      </c>
      <c r="O133" s="31" t="s">
        <v>302</v>
      </c>
      <c r="P133" s="31" t="s">
        <v>302</v>
      </c>
      <c r="Q133" s="31" t="s">
        <v>302</v>
      </c>
      <c r="R133" s="31" t="s">
        <v>302</v>
      </c>
      <c r="S133" s="31" t="s">
        <v>302</v>
      </c>
      <c r="T133" s="31" t="s">
        <v>302</v>
      </c>
      <c r="U133" s="31" t="s">
        <v>302</v>
      </c>
      <c r="V133" s="31" t="s">
        <v>302</v>
      </c>
      <c r="W133" s="31" t="s">
        <v>302</v>
      </c>
      <c r="X133" s="31" t="s">
        <v>302</v>
      </c>
      <c r="Y133" s="31" t="s">
        <v>302</v>
      </c>
      <c r="Z133" s="31" t="s">
        <v>302</v>
      </c>
      <c r="AA133" s="31" t="s">
        <v>302</v>
      </c>
      <c r="AB133" s="31" t="s">
        <v>302</v>
      </c>
      <c r="AC133" s="31"/>
      <c r="AD133" s="31"/>
      <c r="AE133" s="31"/>
      <c r="AF133" s="31"/>
      <c r="AG133" s="31"/>
      <c r="AH133" s="31"/>
      <c r="AI133" s="31"/>
      <c r="AJ133" s="31"/>
      <c r="AK133" s="31"/>
      <c r="AL133" s="31"/>
      <c r="AM133" s="31"/>
      <c r="AN133" s="31"/>
      <c r="AO133" s="31"/>
      <c r="AP133" s="31"/>
      <c r="AQ133" s="31"/>
      <c r="AR133" s="31"/>
      <c r="AS133" s="31"/>
      <c r="AT133" s="31"/>
      <c r="AU133" s="31"/>
    </row>
    <row r="134" spans="7:47" x14ac:dyDescent="0.25">
      <c r="G134" s="37">
        <f t="shared" si="6"/>
        <v>12</v>
      </c>
      <c r="H134" s="37" t="str">
        <f t="shared" ref="H134:H197" si="8">IF(I134=I133,H133,"K"&amp;ROW()&amp;":K"&amp;ROW()+G134-1)</f>
        <v>K124:K135</v>
      </c>
      <c r="I134" s="33" t="s">
        <v>152</v>
      </c>
      <c r="J134" s="42" t="s">
        <v>108</v>
      </c>
      <c r="K134" s="33" t="s">
        <v>473</v>
      </c>
      <c r="L134" s="42" t="s">
        <v>380</v>
      </c>
      <c r="M134" s="42" t="s">
        <v>104</v>
      </c>
      <c r="N134" s="43" t="str">
        <f t="shared" si="7"/>
        <v>grid|gridVerticalColor</v>
      </c>
      <c r="O134" s="31" t="s">
        <v>302</v>
      </c>
      <c r="P134" s="31" t="s">
        <v>302</v>
      </c>
      <c r="Q134" s="31" t="s">
        <v>302</v>
      </c>
      <c r="R134" s="31" t="s">
        <v>302</v>
      </c>
      <c r="S134" s="31" t="s">
        <v>302</v>
      </c>
      <c r="T134" s="31" t="s">
        <v>302</v>
      </c>
      <c r="U134" s="31" t="s">
        <v>302</v>
      </c>
      <c r="V134" s="31" t="s">
        <v>302</v>
      </c>
      <c r="W134" s="31" t="s">
        <v>302</v>
      </c>
      <c r="X134" s="31" t="s">
        <v>302</v>
      </c>
      <c r="Y134" s="31" t="s">
        <v>302</v>
      </c>
      <c r="Z134" s="31" t="s">
        <v>302</v>
      </c>
      <c r="AA134" s="31" t="s">
        <v>302</v>
      </c>
      <c r="AB134" s="31" t="s">
        <v>302</v>
      </c>
      <c r="AC134" s="31"/>
      <c r="AD134" s="31"/>
      <c r="AE134" s="31"/>
      <c r="AF134" s="31"/>
      <c r="AG134" s="31"/>
      <c r="AH134" s="31"/>
      <c r="AI134" s="31"/>
      <c r="AJ134" s="31"/>
      <c r="AK134" s="31"/>
      <c r="AL134" s="31"/>
      <c r="AM134" s="31"/>
      <c r="AN134" s="31"/>
      <c r="AO134" s="31"/>
      <c r="AP134" s="31"/>
      <c r="AQ134" s="31"/>
      <c r="AR134" s="31"/>
      <c r="AS134" s="31"/>
      <c r="AT134" s="31"/>
      <c r="AU134" s="31"/>
    </row>
    <row r="135" spans="7:47" x14ac:dyDescent="0.25">
      <c r="G135" s="37">
        <f t="shared" si="6"/>
        <v>12</v>
      </c>
      <c r="H135" s="37" t="str">
        <f t="shared" si="8"/>
        <v>K124:K135</v>
      </c>
      <c r="I135" s="33" t="s">
        <v>152</v>
      </c>
      <c r="J135" s="42" t="s">
        <v>108</v>
      </c>
      <c r="K135" s="33" t="s">
        <v>474</v>
      </c>
      <c r="L135" s="42" t="s">
        <v>381</v>
      </c>
      <c r="M135" s="42" t="s">
        <v>310</v>
      </c>
      <c r="N135" s="43" t="str">
        <f t="shared" si="7"/>
        <v>grid|gridVerticalWeight</v>
      </c>
      <c r="O135" s="31" t="s">
        <v>302</v>
      </c>
      <c r="P135" s="31" t="s">
        <v>302</v>
      </c>
      <c r="Q135" s="31" t="s">
        <v>302</v>
      </c>
      <c r="R135" s="31" t="s">
        <v>302</v>
      </c>
      <c r="S135" s="31" t="s">
        <v>302</v>
      </c>
      <c r="T135" s="31" t="s">
        <v>302</v>
      </c>
      <c r="U135" s="31" t="s">
        <v>302</v>
      </c>
      <c r="V135" s="31" t="s">
        <v>302</v>
      </c>
      <c r="W135" s="31" t="s">
        <v>302</v>
      </c>
      <c r="X135" s="31" t="s">
        <v>302</v>
      </c>
      <c r="Y135" s="31" t="s">
        <v>302</v>
      </c>
      <c r="Z135" s="31" t="s">
        <v>302</v>
      </c>
      <c r="AA135" s="31" t="s">
        <v>302</v>
      </c>
      <c r="AB135" s="31" t="s">
        <v>302</v>
      </c>
      <c r="AC135" s="31"/>
      <c r="AD135" s="31"/>
      <c r="AE135" s="31"/>
      <c r="AF135" s="31"/>
      <c r="AG135" s="31"/>
      <c r="AH135" s="31"/>
      <c r="AI135" s="31"/>
      <c r="AJ135" s="31"/>
      <c r="AK135" s="31"/>
      <c r="AL135" s="31"/>
      <c r="AM135" s="31"/>
      <c r="AN135" s="31"/>
      <c r="AO135" s="31"/>
      <c r="AP135" s="31"/>
      <c r="AQ135" s="31"/>
      <c r="AR135" s="31"/>
      <c r="AS135" s="31"/>
      <c r="AT135" s="31"/>
      <c r="AU135" s="31"/>
    </row>
    <row r="136" spans="7:47" x14ac:dyDescent="0.25">
      <c r="G136" s="37">
        <f t="shared" si="6"/>
        <v>7</v>
      </c>
      <c r="H136" s="37" t="str">
        <f t="shared" si="8"/>
        <v>K136:K142</v>
      </c>
      <c r="I136" s="33" t="s">
        <v>7</v>
      </c>
      <c r="J136" s="42" t="s">
        <v>8</v>
      </c>
      <c r="K136" s="33" t="s">
        <v>35</v>
      </c>
      <c r="L136" s="42" t="s">
        <v>3</v>
      </c>
      <c r="M136" s="42" t="s">
        <v>104</v>
      </c>
      <c r="N136" s="43" t="str">
        <f t="shared" si="7"/>
        <v>header|background</v>
      </c>
      <c r="O136" s="31" t="s">
        <v>302</v>
      </c>
      <c r="P136" s="31" t="s">
        <v>302</v>
      </c>
      <c r="Q136" s="31" t="s">
        <v>302</v>
      </c>
      <c r="R136" s="31" t="s">
        <v>302</v>
      </c>
      <c r="S136" s="31" t="s">
        <v>302</v>
      </c>
      <c r="T136" s="31" t="s">
        <v>302</v>
      </c>
      <c r="U136" s="31" t="s">
        <v>302</v>
      </c>
      <c r="V136" s="31" t="s">
        <v>302</v>
      </c>
      <c r="W136" s="31" t="s">
        <v>302</v>
      </c>
      <c r="X136" s="31" t="s">
        <v>302</v>
      </c>
      <c r="Y136" s="31" t="s">
        <v>302</v>
      </c>
      <c r="Z136" s="31" t="s">
        <v>302</v>
      </c>
      <c r="AA136" s="31" t="s">
        <v>302</v>
      </c>
      <c r="AB136" s="31" t="s">
        <v>302</v>
      </c>
      <c r="AC136" s="31"/>
      <c r="AD136" s="31"/>
      <c r="AE136" s="31"/>
      <c r="AF136" s="31"/>
      <c r="AG136" s="31"/>
      <c r="AH136" s="31"/>
      <c r="AI136" s="31"/>
      <c r="AJ136" s="31"/>
      <c r="AK136" s="31"/>
      <c r="AL136" s="31"/>
      <c r="AM136" s="31"/>
      <c r="AN136" s="31"/>
      <c r="AO136" s="31"/>
      <c r="AP136" s="31"/>
      <c r="AQ136" s="31"/>
      <c r="AR136" s="31"/>
      <c r="AS136" s="31"/>
      <c r="AT136" s="31"/>
      <c r="AU136" s="31"/>
    </row>
    <row r="137" spans="7:47" x14ac:dyDescent="0.25">
      <c r="G137" s="37">
        <f t="shared" si="6"/>
        <v>7</v>
      </c>
      <c r="H137" s="37" t="str">
        <f t="shared" si="8"/>
        <v>K136:K142</v>
      </c>
      <c r="I137" s="33" t="s">
        <v>7</v>
      </c>
      <c r="J137" s="42" t="s">
        <v>8</v>
      </c>
      <c r="K137" s="33" t="s">
        <v>33</v>
      </c>
      <c r="L137" s="42" t="s">
        <v>211</v>
      </c>
      <c r="M137" s="42" t="s">
        <v>104</v>
      </c>
      <c r="N137" s="43" t="str">
        <f t="shared" si="7"/>
        <v>header|fontColor</v>
      </c>
      <c r="O137" s="31" t="s">
        <v>302</v>
      </c>
      <c r="P137" s="31" t="s">
        <v>302</v>
      </c>
      <c r="Q137" s="31" t="s">
        <v>302</v>
      </c>
      <c r="R137" s="31" t="s">
        <v>302</v>
      </c>
      <c r="S137" s="31" t="s">
        <v>302</v>
      </c>
      <c r="T137" s="31" t="s">
        <v>302</v>
      </c>
      <c r="U137" s="31" t="s">
        <v>302</v>
      </c>
      <c r="V137" s="31" t="s">
        <v>302</v>
      </c>
      <c r="W137" s="31" t="s">
        <v>302</v>
      </c>
      <c r="X137" s="31" t="s">
        <v>302</v>
      </c>
      <c r="Y137" s="31" t="s">
        <v>302</v>
      </c>
      <c r="Z137" s="31" t="s">
        <v>302</v>
      </c>
      <c r="AA137" s="31" t="s">
        <v>302</v>
      </c>
      <c r="AB137" s="31" t="s">
        <v>302</v>
      </c>
      <c r="AC137" s="31"/>
      <c r="AD137" s="31"/>
      <c r="AE137" s="31"/>
      <c r="AF137" s="31"/>
      <c r="AG137" s="31"/>
      <c r="AH137" s="31"/>
      <c r="AI137" s="31"/>
      <c r="AJ137" s="31"/>
      <c r="AK137" s="31"/>
      <c r="AL137" s="31"/>
      <c r="AM137" s="31"/>
      <c r="AN137" s="31"/>
      <c r="AO137" s="31"/>
      <c r="AP137" s="31"/>
      <c r="AQ137" s="31"/>
      <c r="AR137" s="31"/>
      <c r="AS137" s="31"/>
      <c r="AT137" s="31"/>
      <c r="AU137" s="31"/>
    </row>
    <row r="138" spans="7:47" x14ac:dyDescent="0.25">
      <c r="G138" s="37">
        <f t="shared" si="6"/>
        <v>7</v>
      </c>
      <c r="H138" s="37" t="str">
        <f t="shared" si="8"/>
        <v>K136:K142</v>
      </c>
      <c r="I138" s="33" t="s">
        <v>7</v>
      </c>
      <c r="J138" s="42" t="s">
        <v>8</v>
      </c>
      <c r="K138" s="33" t="s">
        <v>17</v>
      </c>
      <c r="L138" s="42" t="s">
        <v>5</v>
      </c>
      <c r="M138" s="42" t="s">
        <v>307</v>
      </c>
      <c r="N138" s="43" t="str">
        <f t="shared" si="7"/>
        <v>header|fontFamily</v>
      </c>
      <c r="O138" s="31" t="s">
        <v>302</v>
      </c>
      <c r="P138" s="31" t="s">
        <v>302</v>
      </c>
      <c r="Q138" s="31" t="s">
        <v>302</v>
      </c>
      <c r="R138" s="31" t="s">
        <v>302</v>
      </c>
      <c r="S138" s="31" t="s">
        <v>302</v>
      </c>
      <c r="T138" s="31" t="s">
        <v>302</v>
      </c>
      <c r="U138" s="31" t="s">
        <v>302</v>
      </c>
      <c r="V138" s="31" t="s">
        <v>302</v>
      </c>
      <c r="W138" s="31" t="s">
        <v>302</v>
      </c>
      <c r="X138" s="31" t="s">
        <v>302</v>
      </c>
      <c r="Y138" s="31" t="s">
        <v>302</v>
      </c>
      <c r="Z138" s="31" t="s">
        <v>302</v>
      </c>
      <c r="AA138" s="31" t="s">
        <v>302</v>
      </c>
      <c r="AB138" s="31" t="s">
        <v>302</v>
      </c>
      <c r="AC138" s="31"/>
      <c r="AD138" s="31"/>
      <c r="AE138" s="31"/>
      <c r="AF138" s="31"/>
      <c r="AG138" s="31"/>
      <c r="AH138" s="31"/>
      <c r="AI138" s="31"/>
      <c r="AJ138" s="31"/>
      <c r="AK138" s="31"/>
      <c r="AL138" s="31"/>
      <c r="AM138" s="31"/>
      <c r="AN138" s="31"/>
      <c r="AO138" s="31"/>
      <c r="AP138" s="31"/>
      <c r="AQ138" s="31"/>
      <c r="AR138" s="31"/>
      <c r="AS138" s="31"/>
      <c r="AT138" s="31"/>
      <c r="AU138" s="31"/>
    </row>
    <row r="139" spans="7:47" x14ac:dyDescent="0.25">
      <c r="G139" s="37">
        <f t="shared" si="6"/>
        <v>7</v>
      </c>
      <c r="H139" s="37" t="str">
        <f t="shared" si="8"/>
        <v>K136:K142</v>
      </c>
      <c r="I139" s="33" t="s">
        <v>7</v>
      </c>
      <c r="J139" s="42" t="s">
        <v>8</v>
      </c>
      <c r="K139" s="33" t="s">
        <v>358</v>
      </c>
      <c r="L139" s="42" t="s">
        <v>236</v>
      </c>
      <c r="M139" s="42" t="s">
        <v>305</v>
      </c>
      <c r="N139" s="43" t="str">
        <f t="shared" si="7"/>
        <v>header|outline</v>
      </c>
      <c r="O139" s="31" t="s">
        <v>51</v>
      </c>
      <c r="P139" s="31" t="s">
        <v>283</v>
      </c>
      <c r="Q139" s="31" t="s">
        <v>284</v>
      </c>
      <c r="R139" s="31" t="s">
        <v>285</v>
      </c>
      <c r="S139" s="31" t="s">
        <v>286</v>
      </c>
      <c r="T139" s="31" t="s">
        <v>287</v>
      </c>
      <c r="U139" s="31" t="s">
        <v>288</v>
      </c>
      <c r="V139" s="31" t="s">
        <v>238</v>
      </c>
      <c r="W139" s="31"/>
      <c r="X139" s="31"/>
      <c r="Y139" s="31"/>
      <c r="Z139" s="31"/>
      <c r="AA139" s="31"/>
      <c r="AB139" s="31"/>
      <c r="AC139" s="31"/>
      <c r="AD139" s="31"/>
      <c r="AE139" s="31"/>
      <c r="AF139" s="31"/>
      <c r="AG139" s="31"/>
      <c r="AH139" s="31"/>
      <c r="AI139" s="31"/>
      <c r="AJ139" s="31"/>
      <c r="AK139" s="31"/>
      <c r="AL139" s="31"/>
      <c r="AM139" s="31"/>
      <c r="AN139" s="31"/>
      <c r="AO139" s="31"/>
      <c r="AP139" s="31"/>
      <c r="AQ139" s="31"/>
      <c r="AR139" s="31"/>
      <c r="AS139" s="31"/>
      <c r="AT139" s="31"/>
      <c r="AU139" s="31"/>
    </row>
    <row r="140" spans="7:47" x14ac:dyDescent="0.25">
      <c r="G140" s="37">
        <f t="shared" si="6"/>
        <v>7</v>
      </c>
      <c r="H140" s="37" t="str">
        <f t="shared" si="8"/>
        <v>K136:K142</v>
      </c>
      <c r="I140" s="33" t="s">
        <v>7</v>
      </c>
      <c r="J140" s="42" t="s">
        <v>8</v>
      </c>
      <c r="K140" s="33" t="s">
        <v>213</v>
      </c>
      <c r="L140" s="42" t="s">
        <v>54</v>
      </c>
      <c r="M140" s="42" t="s">
        <v>304</v>
      </c>
      <c r="N140" s="43" t="str">
        <f t="shared" si="7"/>
        <v>header|show</v>
      </c>
      <c r="O140" s="31" t="s">
        <v>302</v>
      </c>
      <c r="P140" s="31" t="s">
        <v>302</v>
      </c>
      <c r="Q140" s="31" t="s">
        <v>302</v>
      </c>
      <c r="R140" s="31" t="s">
        <v>302</v>
      </c>
      <c r="S140" s="31" t="s">
        <v>302</v>
      </c>
      <c r="T140" s="31" t="s">
        <v>302</v>
      </c>
      <c r="U140" s="31" t="s">
        <v>302</v>
      </c>
      <c r="V140" s="31" t="s">
        <v>302</v>
      </c>
      <c r="W140" s="31" t="s">
        <v>302</v>
      </c>
      <c r="X140" s="31" t="s">
        <v>302</v>
      </c>
      <c r="Y140" s="31" t="s">
        <v>302</v>
      </c>
      <c r="Z140" s="31" t="s">
        <v>302</v>
      </c>
      <c r="AA140" s="31" t="s">
        <v>302</v>
      </c>
      <c r="AB140" s="31" t="s">
        <v>302</v>
      </c>
      <c r="AC140" s="31"/>
      <c r="AD140" s="31"/>
      <c r="AE140" s="31"/>
      <c r="AF140" s="31"/>
      <c r="AG140" s="31"/>
      <c r="AH140" s="31"/>
      <c r="AI140" s="31"/>
      <c r="AJ140" s="31"/>
      <c r="AK140" s="31"/>
      <c r="AL140" s="31"/>
      <c r="AM140" s="31"/>
      <c r="AN140" s="31"/>
      <c r="AO140" s="31"/>
      <c r="AP140" s="31"/>
      <c r="AQ140" s="31"/>
      <c r="AR140" s="31"/>
      <c r="AS140" s="31"/>
      <c r="AT140" s="31"/>
      <c r="AU140" s="31"/>
    </row>
    <row r="141" spans="7:47" x14ac:dyDescent="0.25">
      <c r="G141" s="37">
        <f t="shared" si="6"/>
        <v>7</v>
      </c>
      <c r="H141" s="37" t="str">
        <f t="shared" si="8"/>
        <v>K136:K142</v>
      </c>
      <c r="I141" s="33" t="s">
        <v>7</v>
      </c>
      <c r="J141" s="42" t="s">
        <v>8</v>
      </c>
      <c r="K141" s="33" t="s">
        <v>497</v>
      </c>
      <c r="L141" s="42" t="s">
        <v>411</v>
      </c>
      <c r="M141" s="42" t="s">
        <v>304</v>
      </c>
      <c r="N141" s="43" t="str">
        <f t="shared" si="7"/>
        <v>header|singleSelect</v>
      </c>
      <c r="O141" s="31" t="s">
        <v>302</v>
      </c>
      <c r="P141" s="31" t="s">
        <v>302</v>
      </c>
      <c r="Q141" s="31" t="s">
        <v>302</v>
      </c>
      <c r="R141" s="31" t="s">
        <v>302</v>
      </c>
      <c r="S141" s="31" t="s">
        <v>302</v>
      </c>
      <c r="T141" s="31" t="s">
        <v>302</v>
      </c>
      <c r="U141" s="31" t="s">
        <v>302</v>
      </c>
      <c r="V141" s="31" t="s">
        <v>302</v>
      </c>
      <c r="W141" s="31" t="s">
        <v>302</v>
      </c>
      <c r="X141" s="31" t="s">
        <v>302</v>
      </c>
      <c r="Y141" s="31" t="s">
        <v>302</v>
      </c>
      <c r="Z141" s="31" t="s">
        <v>302</v>
      </c>
      <c r="AA141" s="31" t="s">
        <v>302</v>
      </c>
      <c r="AB141" s="31" t="s">
        <v>302</v>
      </c>
      <c r="AC141" s="31"/>
      <c r="AD141" s="31"/>
      <c r="AE141" s="31"/>
      <c r="AF141" s="31"/>
      <c r="AG141" s="31"/>
      <c r="AH141" s="31"/>
      <c r="AI141" s="31"/>
      <c r="AJ141" s="31"/>
      <c r="AK141" s="31"/>
      <c r="AL141" s="31"/>
      <c r="AM141" s="31"/>
      <c r="AN141" s="31"/>
      <c r="AO141" s="31"/>
      <c r="AP141" s="31"/>
      <c r="AQ141" s="31"/>
      <c r="AR141" s="31"/>
      <c r="AS141" s="31"/>
      <c r="AT141" s="31"/>
      <c r="AU141" s="31"/>
    </row>
    <row r="142" spans="7:47" x14ac:dyDescent="0.25">
      <c r="G142" s="37">
        <f t="shared" si="6"/>
        <v>7</v>
      </c>
      <c r="H142" s="37" t="str">
        <f t="shared" si="8"/>
        <v>K136:K142</v>
      </c>
      <c r="I142" s="33" t="s">
        <v>7</v>
      </c>
      <c r="J142" s="42" t="s">
        <v>8</v>
      </c>
      <c r="K142" s="33" t="s">
        <v>16</v>
      </c>
      <c r="L142" s="42" t="s">
        <v>388</v>
      </c>
      <c r="M142" s="42" t="s">
        <v>310</v>
      </c>
      <c r="N142" s="43" t="str">
        <f t="shared" si="7"/>
        <v>header|textSize</v>
      </c>
      <c r="O142" s="31" t="s">
        <v>302</v>
      </c>
      <c r="P142" s="31" t="s">
        <v>302</v>
      </c>
      <c r="Q142" s="31" t="s">
        <v>302</v>
      </c>
      <c r="R142" s="31" t="s">
        <v>302</v>
      </c>
      <c r="S142" s="31" t="s">
        <v>302</v>
      </c>
      <c r="T142" s="31" t="s">
        <v>302</v>
      </c>
      <c r="U142" s="31" t="s">
        <v>302</v>
      </c>
      <c r="V142" s="31" t="s">
        <v>302</v>
      </c>
      <c r="W142" s="31" t="s">
        <v>302</v>
      </c>
      <c r="X142" s="31" t="s">
        <v>302</v>
      </c>
      <c r="Y142" s="31" t="s">
        <v>302</v>
      </c>
      <c r="Z142" s="31" t="s">
        <v>302</v>
      </c>
      <c r="AA142" s="31" t="s">
        <v>302</v>
      </c>
      <c r="AB142" s="31" t="s">
        <v>302</v>
      </c>
      <c r="AC142" s="31"/>
      <c r="AD142" s="31"/>
      <c r="AE142" s="31"/>
      <c r="AF142" s="31"/>
      <c r="AG142" s="31"/>
      <c r="AH142" s="31"/>
      <c r="AI142" s="31"/>
      <c r="AJ142" s="31"/>
      <c r="AK142" s="31"/>
      <c r="AL142" s="31"/>
      <c r="AM142" s="31"/>
      <c r="AN142" s="31"/>
      <c r="AO142" s="31"/>
      <c r="AP142" s="31"/>
      <c r="AQ142" s="31"/>
      <c r="AR142" s="31"/>
      <c r="AS142" s="31"/>
      <c r="AT142" s="31"/>
      <c r="AU142" s="31"/>
    </row>
    <row r="143" spans="7:47" x14ac:dyDescent="0.25">
      <c r="G143" s="37">
        <f t="shared" si="6"/>
        <v>4</v>
      </c>
      <c r="H143" s="37" t="str">
        <f t="shared" si="8"/>
        <v>K143:K146</v>
      </c>
      <c r="I143" s="33" t="s">
        <v>153</v>
      </c>
      <c r="J143" s="42" t="s">
        <v>109</v>
      </c>
      <c r="K143" s="33" t="s">
        <v>27</v>
      </c>
      <c r="L143" s="42" t="s">
        <v>423</v>
      </c>
      <c r="M143" s="42" t="s">
        <v>307</v>
      </c>
      <c r="N143" s="43" t="str">
        <f t="shared" si="7"/>
        <v>indicator|indicatorDisplayUnits</v>
      </c>
      <c r="O143" s="31" t="s">
        <v>302</v>
      </c>
      <c r="P143" s="31" t="s">
        <v>302</v>
      </c>
      <c r="Q143" s="31" t="s">
        <v>302</v>
      </c>
      <c r="R143" s="31" t="s">
        <v>302</v>
      </c>
      <c r="S143" s="31" t="s">
        <v>302</v>
      </c>
      <c r="T143" s="31" t="s">
        <v>302</v>
      </c>
      <c r="U143" s="31" t="s">
        <v>302</v>
      </c>
      <c r="V143" s="31" t="s">
        <v>302</v>
      </c>
      <c r="W143" s="31" t="s">
        <v>302</v>
      </c>
      <c r="X143" s="31" t="s">
        <v>302</v>
      </c>
      <c r="Y143" s="31" t="s">
        <v>302</v>
      </c>
      <c r="Z143" s="31" t="s">
        <v>302</v>
      </c>
      <c r="AA143" s="31" t="s">
        <v>302</v>
      </c>
      <c r="AB143" s="31" t="s">
        <v>302</v>
      </c>
      <c r="AC143" s="31"/>
      <c r="AD143" s="31"/>
      <c r="AE143" s="31"/>
      <c r="AF143" s="31"/>
      <c r="AG143" s="31"/>
      <c r="AH143" s="31"/>
      <c r="AI143" s="31"/>
      <c r="AJ143" s="31"/>
      <c r="AK143" s="31"/>
      <c r="AL143" s="31"/>
      <c r="AM143" s="31"/>
      <c r="AN143" s="31"/>
      <c r="AO143" s="31"/>
      <c r="AP143" s="31"/>
      <c r="AQ143" s="31"/>
      <c r="AR143" s="31"/>
      <c r="AS143" s="31"/>
      <c r="AT143" s="31"/>
      <c r="AU143" s="31"/>
    </row>
    <row r="144" spans="7:47" x14ac:dyDescent="0.25">
      <c r="G144" s="37">
        <f t="shared" si="6"/>
        <v>4</v>
      </c>
      <c r="H144" s="37" t="str">
        <f t="shared" si="8"/>
        <v>K143:K146</v>
      </c>
      <c r="I144" s="33" t="s">
        <v>153</v>
      </c>
      <c r="J144" s="42" t="s">
        <v>109</v>
      </c>
      <c r="K144" s="33" t="s">
        <v>426</v>
      </c>
      <c r="L144" s="42" t="s">
        <v>425</v>
      </c>
      <c r="M144" s="42" t="s">
        <v>317</v>
      </c>
      <c r="N144" s="43" t="str">
        <f t="shared" si="7"/>
        <v>indicator|kpiFormat</v>
      </c>
      <c r="O144" s="31" t="s">
        <v>302</v>
      </c>
      <c r="P144" s="31" t="s">
        <v>302</v>
      </c>
      <c r="Q144" s="31" t="s">
        <v>302</v>
      </c>
      <c r="R144" s="31" t="s">
        <v>302</v>
      </c>
      <c r="S144" s="31" t="s">
        <v>302</v>
      </c>
      <c r="T144" s="31" t="s">
        <v>302</v>
      </c>
      <c r="U144" s="31" t="s">
        <v>302</v>
      </c>
      <c r="V144" s="31" t="s">
        <v>302</v>
      </c>
      <c r="W144" s="31" t="s">
        <v>302</v>
      </c>
      <c r="X144" s="31" t="s">
        <v>302</v>
      </c>
      <c r="Y144" s="31" t="s">
        <v>302</v>
      </c>
      <c r="Z144" s="31" t="s">
        <v>302</v>
      </c>
      <c r="AA144" s="31" t="s">
        <v>302</v>
      </c>
      <c r="AB144" s="31" t="s">
        <v>302</v>
      </c>
      <c r="AC144" s="31"/>
      <c r="AD144" s="31"/>
      <c r="AE144" s="31"/>
      <c r="AF144" s="31"/>
      <c r="AG144" s="31"/>
      <c r="AH144" s="31"/>
      <c r="AI144" s="31"/>
      <c r="AJ144" s="31"/>
      <c r="AK144" s="31"/>
      <c r="AL144" s="31"/>
      <c r="AM144" s="31"/>
      <c r="AN144" s="31"/>
      <c r="AO144" s="31"/>
      <c r="AP144" s="31"/>
      <c r="AQ144" s="31"/>
      <c r="AR144" s="31"/>
      <c r="AS144" s="31"/>
      <c r="AT144" s="31"/>
      <c r="AU144" s="31"/>
    </row>
    <row r="145" spans="7:47" x14ac:dyDescent="0.25">
      <c r="G145" s="37">
        <f t="shared" si="6"/>
        <v>4</v>
      </c>
      <c r="H145" s="37" t="str">
        <f t="shared" si="8"/>
        <v>K143:K146</v>
      </c>
      <c r="I145" s="33" t="s">
        <v>153</v>
      </c>
      <c r="J145" s="42" t="s">
        <v>109</v>
      </c>
      <c r="K145" s="33" t="s">
        <v>499</v>
      </c>
      <c r="L145" s="42" t="s">
        <v>421</v>
      </c>
      <c r="M145" s="42" t="s">
        <v>422</v>
      </c>
      <c r="N145" s="43" t="str">
        <f t="shared" si="7"/>
        <v>indicator|maxBreakdowns</v>
      </c>
      <c r="O145" s="31" t="s">
        <v>302</v>
      </c>
      <c r="P145" s="31" t="s">
        <v>302</v>
      </c>
      <c r="Q145" s="31" t="s">
        <v>302</v>
      </c>
      <c r="R145" s="31" t="s">
        <v>302</v>
      </c>
      <c r="S145" s="31" t="s">
        <v>302</v>
      </c>
      <c r="T145" s="31" t="s">
        <v>302</v>
      </c>
      <c r="U145" s="31" t="s">
        <v>302</v>
      </c>
      <c r="V145" s="31" t="s">
        <v>302</v>
      </c>
      <c r="W145" s="31" t="s">
        <v>302</v>
      </c>
      <c r="X145" s="31" t="s">
        <v>302</v>
      </c>
      <c r="Y145" s="31" t="s">
        <v>302</v>
      </c>
      <c r="Z145" s="31" t="s">
        <v>302</v>
      </c>
      <c r="AA145" s="31" t="s">
        <v>302</v>
      </c>
      <c r="AB145" s="31" t="s">
        <v>302</v>
      </c>
      <c r="AC145" s="31"/>
      <c r="AD145" s="31"/>
      <c r="AE145" s="31"/>
      <c r="AF145" s="31"/>
      <c r="AG145" s="31"/>
      <c r="AH145" s="31"/>
      <c r="AI145" s="31"/>
      <c r="AJ145" s="31"/>
      <c r="AK145" s="31"/>
      <c r="AL145" s="31"/>
      <c r="AM145" s="31"/>
      <c r="AN145" s="31"/>
      <c r="AO145" s="31"/>
      <c r="AP145" s="31"/>
      <c r="AQ145" s="31"/>
      <c r="AR145" s="31"/>
      <c r="AS145" s="31"/>
      <c r="AT145" s="31"/>
      <c r="AU145" s="31"/>
    </row>
    <row r="146" spans="7:47" x14ac:dyDescent="0.25">
      <c r="G146" s="37">
        <f t="shared" si="6"/>
        <v>4</v>
      </c>
      <c r="H146" s="37" t="str">
        <f t="shared" si="8"/>
        <v>K143:K146</v>
      </c>
      <c r="I146" s="33" t="s">
        <v>153</v>
      </c>
      <c r="J146" s="42" t="s">
        <v>109</v>
      </c>
      <c r="K146" s="33" t="s">
        <v>28</v>
      </c>
      <c r="L146" s="42" t="s">
        <v>424</v>
      </c>
      <c r="M146" s="42" t="s">
        <v>310</v>
      </c>
      <c r="N146" s="43" t="str">
        <f t="shared" si="7"/>
        <v>indicator|indicatorPrecision</v>
      </c>
      <c r="O146" s="31" t="s">
        <v>302</v>
      </c>
      <c r="P146" s="31" t="s">
        <v>302</v>
      </c>
      <c r="Q146" s="31" t="s">
        <v>302</v>
      </c>
      <c r="R146" s="31" t="s">
        <v>302</v>
      </c>
      <c r="S146" s="31" t="s">
        <v>302</v>
      </c>
      <c r="T146" s="31" t="s">
        <v>302</v>
      </c>
      <c r="U146" s="31" t="s">
        <v>302</v>
      </c>
      <c r="V146" s="31" t="s">
        <v>302</v>
      </c>
      <c r="W146" s="31" t="s">
        <v>302</v>
      </c>
      <c r="X146" s="31" t="s">
        <v>302</v>
      </c>
      <c r="Y146" s="31" t="s">
        <v>302</v>
      </c>
      <c r="Z146" s="31" t="s">
        <v>302</v>
      </c>
      <c r="AA146" s="31" t="s">
        <v>302</v>
      </c>
      <c r="AB146" s="31" t="s">
        <v>302</v>
      </c>
      <c r="AC146" s="31"/>
      <c r="AD146" s="31"/>
      <c r="AE146" s="31"/>
      <c r="AF146" s="31"/>
      <c r="AG146" s="31"/>
      <c r="AH146" s="31"/>
      <c r="AI146" s="31"/>
      <c r="AJ146" s="31"/>
      <c r="AK146" s="31"/>
      <c r="AL146" s="31"/>
      <c r="AM146" s="31"/>
      <c r="AN146" s="31"/>
      <c r="AO146" s="31"/>
      <c r="AP146" s="31"/>
      <c r="AQ146" s="31"/>
      <c r="AR146" s="31"/>
      <c r="AS146" s="31"/>
      <c r="AT146" s="31"/>
      <c r="AU146" s="31"/>
    </row>
    <row r="147" spans="7:47" x14ac:dyDescent="0.25">
      <c r="G147" s="37">
        <f t="shared" si="6"/>
        <v>5</v>
      </c>
      <c r="H147" s="37" t="str">
        <f t="shared" si="8"/>
        <v>K147:K151</v>
      </c>
      <c r="I147" s="33" t="s">
        <v>154</v>
      </c>
      <c r="J147" s="42" t="s">
        <v>110</v>
      </c>
      <c r="K147" s="33" t="s">
        <v>35</v>
      </c>
      <c r="L147" s="42" t="s">
        <v>3</v>
      </c>
      <c r="M147" s="42" t="s">
        <v>104</v>
      </c>
      <c r="N147" s="43" t="str">
        <f t="shared" si="7"/>
        <v>items|background</v>
      </c>
      <c r="O147" s="31" t="s">
        <v>302</v>
      </c>
      <c r="P147" s="31" t="s">
        <v>302</v>
      </c>
      <c r="Q147" s="31" t="s">
        <v>302</v>
      </c>
      <c r="R147" s="31" t="s">
        <v>302</v>
      </c>
      <c r="S147" s="31" t="s">
        <v>302</v>
      </c>
      <c r="T147" s="31" t="s">
        <v>302</v>
      </c>
      <c r="U147" s="31" t="s">
        <v>302</v>
      </c>
      <c r="V147" s="31" t="s">
        <v>302</v>
      </c>
      <c r="W147" s="31" t="s">
        <v>302</v>
      </c>
      <c r="X147" s="31" t="s">
        <v>302</v>
      </c>
      <c r="Y147" s="31" t="s">
        <v>302</v>
      </c>
      <c r="Z147" s="31" t="s">
        <v>302</v>
      </c>
      <c r="AA147" s="31" t="s">
        <v>302</v>
      </c>
      <c r="AB147" s="31" t="s">
        <v>302</v>
      </c>
      <c r="AC147" s="31"/>
      <c r="AD147" s="31"/>
      <c r="AE147" s="31"/>
      <c r="AF147" s="31"/>
      <c r="AG147" s="31"/>
      <c r="AH147" s="31"/>
      <c r="AI147" s="31"/>
      <c r="AJ147" s="31"/>
      <c r="AK147" s="31"/>
      <c r="AL147" s="31"/>
      <c r="AM147" s="31"/>
      <c r="AN147" s="31"/>
      <c r="AO147" s="31"/>
      <c r="AP147" s="31"/>
      <c r="AQ147" s="31"/>
      <c r="AR147" s="31"/>
      <c r="AS147" s="31"/>
      <c r="AT147" s="31"/>
      <c r="AU147" s="31"/>
    </row>
    <row r="148" spans="7:47" x14ac:dyDescent="0.25">
      <c r="G148" s="37">
        <f t="shared" si="6"/>
        <v>5</v>
      </c>
      <c r="H148" s="37" t="str">
        <f t="shared" si="8"/>
        <v>K147:K151</v>
      </c>
      <c r="I148" s="33" t="s">
        <v>154</v>
      </c>
      <c r="J148" s="42" t="s">
        <v>110</v>
      </c>
      <c r="K148" s="33" t="s">
        <v>33</v>
      </c>
      <c r="L148" s="42" t="s">
        <v>211</v>
      </c>
      <c r="M148" s="42" t="s">
        <v>104</v>
      </c>
      <c r="N148" s="43" t="str">
        <f t="shared" si="7"/>
        <v>items|fontColor</v>
      </c>
      <c r="O148" s="31" t="s">
        <v>302</v>
      </c>
      <c r="P148" s="31" t="s">
        <v>302</v>
      </c>
      <c r="Q148" s="31" t="s">
        <v>302</v>
      </c>
      <c r="R148" s="31" t="s">
        <v>302</v>
      </c>
      <c r="S148" s="31" t="s">
        <v>302</v>
      </c>
      <c r="T148" s="31" t="s">
        <v>302</v>
      </c>
      <c r="U148" s="31" t="s">
        <v>302</v>
      </c>
      <c r="V148" s="31" t="s">
        <v>302</v>
      </c>
      <c r="W148" s="31" t="s">
        <v>302</v>
      </c>
      <c r="X148" s="31" t="s">
        <v>302</v>
      </c>
      <c r="Y148" s="31" t="s">
        <v>302</v>
      </c>
      <c r="Z148" s="31" t="s">
        <v>302</v>
      </c>
      <c r="AA148" s="31" t="s">
        <v>302</v>
      </c>
      <c r="AB148" s="31" t="s">
        <v>302</v>
      </c>
      <c r="AC148" s="31"/>
      <c r="AD148" s="31"/>
      <c r="AE148" s="31"/>
      <c r="AF148" s="31"/>
      <c r="AG148" s="31"/>
      <c r="AH148" s="31"/>
      <c r="AI148" s="31"/>
      <c r="AJ148" s="31"/>
      <c r="AK148" s="31"/>
      <c r="AL148" s="31"/>
      <c r="AM148" s="31"/>
      <c r="AN148" s="31"/>
      <c r="AO148" s="31"/>
      <c r="AP148" s="31"/>
      <c r="AQ148" s="31"/>
      <c r="AR148" s="31"/>
      <c r="AS148" s="31"/>
      <c r="AT148" s="31"/>
      <c r="AU148" s="31"/>
    </row>
    <row r="149" spans="7:47" x14ac:dyDescent="0.25">
      <c r="G149" s="37">
        <f t="shared" si="6"/>
        <v>5</v>
      </c>
      <c r="H149" s="37" t="str">
        <f t="shared" si="8"/>
        <v>K147:K151</v>
      </c>
      <c r="I149" s="33" t="s">
        <v>154</v>
      </c>
      <c r="J149" s="42" t="s">
        <v>110</v>
      </c>
      <c r="K149" s="33" t="s">
        <v>17</v>
      </c>
      <c r="L149" s="42" t="s">
        <v>5</v>
      </c>
      <c r="M149" s="42" t="s">
        <v>307</v>
      </c>
      <c r="N149" s="43" t="str">
        <f t="shared" si="7"/>
        <v>items|fontFamily</v>
      </c>
      <c r="O149" s="31" t="s">
        <v>302</v>
      </c>
      <c r="P149" s="31" t="s">
        <v>302</v>
      </c>
      <c r="Q149" s="31" t="s">
        <v>302</v>
      </c>
      <c r="R149" s="31" t="s">
        <v>302</v>
      </c>
      <c r="S149" s="31" t="s">
        <v>302</v>
      </c>
      <c r="T149" s="31" t="s">
        <v>302</v>
      </c>
      <c r="U149" s="31" t="s">
        <v>302</v>
      </c>
      <c r="V149" s="31" t="s">
        <v>302</v>
      </c>
      <c r="W149" s="31" t="s">
        <v>302</v>
      </c>
      <c r="X149" s="31" t="s">
        <v>302</v>
      </c>
      <c r="Y149" s="31" t="s">
        <v>302</v>
      </c>
      <c r="Z149" s="31" t="s">
        <v>302</v>
      </c>
      <c r="AA149" s="31" t="s">
        <v>302</v>
      </c>
      <c r="AB149" s="31" t="s">
        <v>302</v>
      </c>
      <c r="AC149" s="31"/>
      <c r="AD149" s="31"/>
      <c r="AE149" s="31"/>
      <c r="AF149" s="31"/>
      <c r="AG149" s="31"/>
      <c r="AH149" s="31"/>
      <c r="AI149" s="31"/>
      <c r="AJ149" s="31"/>
      <c r="AK149" s="31"/>
      <c r="AL149" s="31"/>
      <c r="AM149" s="31"/>
      <c r="AN149" s="31"/>
      <c r="AO149" s="31"/>
      <c r="AP149" s="31"/>
      <c r="AQ149" s="31"/>
      <c r="AR149" s="31"/>
      <c r="AS149" s="31"/>
      <c r="AT149" s="31"/>
      <c r="AU149" s="31"/>
    </row>
    <row r="150" spans="7:47" x14ac:dyDescent="0.25">
      <c r="G150" s="37">
        <f t="shared" si="6"/>
        <v>5</v>
      </c>
      <c r="H150" s="37" t="str">
        <f t="shared" si="8"/>
        <v>K147:K151</v>
      </c>
      <c r="I150" s="33" t="s">
        <v>154</v>
      </c>
      <c r="J150" s="42" t="s">
        <v>110</v>
      </c>
      <c r="K150" s="33" t="s">
        <v>358</v>
      </c>
      <c r="L150" s="42" t="s">
        <v>236</v>
      </c>
      <c r="M150" s="42" t="s">
        <v>305</v>
      </c>
      <c r="N150" s="43" t="str">
        <f t="shared" si="7"/>
        <v>items|outline</v>
      </c>
      <c r="O150" s="31" t="s">
        <v>51</v>
      </c>
      <c r="P150" s="31" t="s">
        <v>283</v>
      </c>
      <c r="Q150" s="31" t="s">
        <v>284</v>
      </c>
      <c r="R150" s="31" t="s">
        <v>285</v>
      </c>
      <c r="S150" s="31" t="s">
        <v>286</v>
      </c>
      <c r="T150" s="31" t="s">
        <v>287</v>
      </c>
      <c r="U150" s="31" t="s">
        <v>288</v>
      </c>
      <c r="V150" s="31" t="s">
        <v>238</v>
      </c>
      <c r="W150" s="31"/>
      <c r="X150" s="31"/>
      <c r="Y150" s="31"/>
      <c r="Z150" s="31"/>
      <c r="AA150" s="31"/>
      <c r="AB150" s="31"/>
      <c r="AC150" s="31"/>
      <c r="AD150" s="31"/>
      <c r="AE150" s="31"/>
      <c r="AF150" s="31"/>
      <c r="AG150" s="31"/>
      <c r="AH150" s="31"/>
      <c r="AI150" s="31"/>
      <c r="AJ150" s="31"/>
      <c r="AK150" s="31"/>
      <c r="AL150" s="31"/>
      <c r="AM150" s="31"/>
      <c r="AN150" s="31"/>
      <c r="AO150" s="31"/>
      <c r="AP150" s="31"/>
      <c r="AQ150" s="31"/>
      <c r="AR150" s="31"/>
      <c r="AS150" s="31"/>
      <c r="AT150" s="31"/>
      <c r="AU150" s="31"/>
    </row>
    <row r="151" spans="7:47" x14ac:dyDescent="0.25">
      <c r="G151" s="37">
        <f t="shared" si="6"/>
        <v>5</v>
      </c>
      <c r="H151" s="37" t="str">
        <f t="shared" si="8"/>
        <v>K147:K151</v>
      </c>
      <c r="I151" s="33" t="s">
        <v>154</v>
      </c>
      <c r="J151" s="42" t="s">
        <v>110</v>
      </c>
      <c r="K151" s="33" t="s">
        <v>16</v>
      </c>
      <c r="L151" s="42" t="s">
        <v>388</v>
      </c>
      <c r="M151" s="42" t="s">
        <v>310</v>
      </c>
      <c r="N151" s="43" t="str">
        <f t="shared" si="7"/>
        <v>items|textSize</v>
      </c>
      <c r="O151" s="31" t="s">
        <v>302</v>
      </c>
      <c r="P151" s="31" t="s">
        <v>302</v>
      </c>
      <c r="Q151" s="31" t="s">
        <v>302</v>
      </c>
      <c r="R151" s="31" t="s">
        <v>302</v>
      </c>
      <c r="S151" s="31" t="s">
        <v>302</v>
      </c>
      <c r="T151" s="31" t="s">
        <v>302</v>
      </c>
      <c r="U151" s="31" t="s">
        <v>302</v>
      </c>
      <c r="V151" s="31" t="s">
        <v>302</v>
      </c>
      <c r="W151" s="31" t="s">
        <v>302</v>
      </c>
      <c r="X151" s="31" t="s">
        <v>302</v>
      </c>
      <c r="Y151" s="31" t="s">
        <v>302</v>
      </c>
      <c r="Z151" s="31" t="s">
        <v>302</v>
      </c>
      <c r="AA151" s="31" t="s">
        <v>302</v>
      </c>
      <c r="AB151" s="31" t="s">
        <v>302</v>
      </c>
      <c r="AC151" s="31"/>
      <c r="AD151" s="31"/>
      <c r="AE151" s="31"/>
      <c r="AF151" s="31"/>
      <c r="AG151" s="31"/>
      <c r="AH151" s="31"/>
      <c r="AI151" s="31"/>
      <c r="AJ151" s="31"/>
      <c r="AK151" s="31"/>
      <c r="AL151" s="31"/>
      <c r="AM151" s="31"/>
      <c r="AN151" s="31"/>
      <c r="AO151" s="31"/>
      <c r="AP151" s="31"/>
      <c r="AQ151" s="31"/>
      <c r="AR151" s="31"/>
      <c r="AS151" s="31"/>
      <c r="AT151" s="31"/>
      <c r="AU151" s="31"/>
    </row>
    <row r="152" spans="7:47" x14ac:dyDescent="0.25">
      <c r="G152" s="37">
        <f t="shared" si="6"/>
        <v>6</v>
      </c>
      <c r="H152" s="37" t="str">
        <f t="shared" si="8"/>
        <v>K152:K157</v>
      </c>
      <c r="I152" s="33" t="s">
        <v>12</v>
      </c>
      <c r="J152" s="42" t="s">
        <v>53</v>
      </c>
      <c r="K152" s="33" t="s">
        <v>15</v>
      </c>
      <c r="L152" s="42" t="s">
        <v>58</v>
      </c>
      <c r="M152" s="42" t="s">
        <v>104</v>
      </c>
      <c r="N152" s="43" t="str">
        <f t="shared" si="7"/>
        <v>legend|labelColor</v>
      </c>
      <c r="O152" s="31" t="s">
        <v>302</v>
      </c>
      <c r="P152" s="31" t="s">
        <v>302</v>
      </c>
      <c r="Q152" s="31" t="s">
        <v>302</v>
      </c>
      <c r="R152" s="31" t="s">
        <v>302</v>
      </c>
      <c r="S152" s="31" t="s">
        <v>302</v>
      </c>
      <c r="T152" s="31" t="s">
        <v>302</v>
      </c>
      <c r="U152" s="31" t="s">
        <v>302</v>
      </c>
      <c r="V152" s="31" t="s">
        <v>302</v>
      </c>
      <c r="W152" s="31" t="s">
        <v>302</v>
      </c>
      <c r="X152" s="31" t="s">
        <v>302</v>
      </c>
      <c r="Y152" s="31" t="s">
        <v>302</v>
      </c>
      <c r="Z152" s="31" t="s">
        <v>302</v>
      </c>
      <c r="AA152" s="31" t="s">
        <v>302</v>
      </c>
      <c r="AB152" s="31" t="s">
        <v>302</v>
      </c>
      <c r="AC152" s="31"/>
      <c r="AD152" s="31"/>
      <c r="AE152" s="31"/>
      <c r="AF152" s="31"/>
      <c r="AG152" s="31"/>
      <c r="AH152" s="31"/>
      <c r="AI152" s="31"/>
      <c r="AJ152" s="31"/>
      <c r="AK152" s="31"/>
      <c r="AL152" s="31"/>
      <c r="AM152" s="31"/>
      <c r="AN152" s="31"/>
      <c r="AO152" s="31"/>
      <c r="AP152" s="31"/>
      <c r="AQ152" s="31"/>
      <c r="AR152" s="31"/>
      <c r="AS152" s="31"/>
      <c r="AT152" s="31"/>
      <c r="AU152" s="31"/>
    </row>
    <row r="153" spans="7:47" x14ac:dyDescent="0.25">
      <c r="G153" s="37">
        <f t="shared" si="6"/>
        <v>6</v>
      </c>
      <c r="H153" s="37" t="str">
        <f t="shared" si="8"/>
        <v>K152:K157</v>
      </c>
      <c r="I153" s="33" t="s">
        <v>12</v>
      </c>
      <c r="J153" s="42" t="s">
        <v>53</v>
      </c>
      <c r="K153" s="33" t="s">
        <v>17</v>
      </c>
      <c r="L153" s="42" t="s">
        <v>5</v>
      </c>
      <c r="M153" s="42" t="s">
        <v>307</v>
      </c>
      <c r="N153" s="43" t="str">
        <f t="shared" si="7"/>
        <v>legend|fontFamily</v>
      </c>
      <c r="O153" s="31" t="s">
        <v>302</v>
      </c>
      <c r="P153" s="31" t="s">
        <v>302</v>
      </c>
      <c r="Q153" s="31" t="s">
        <v>302</v>
      </c>
      <c r="R153" s="31" t="s">
        <v>302</v>
      </c>
      <c r="S153" s="31" t="s">
        <v>302</v>
      </c>
      <c r="T153" s="31" t="s">
        <v>302</v>
      </c>
      <c r="U153" s="31" t="s">
        <v>302</v>
      </c>
      <c r="V153" s="31" t="s">
        <v>302</v>
      </c>
      <c r="W153" s="31" t="s">
        <v>302</v>
      </c>
      <c r="X153" s="31" t="s">
        <v>302</v>
      </c>
      <c r="Y153" s="31" t="s">
        <v>302</v>
      </c>
      <c r="Z153" s="31" t="s">
        <v>302</v>
      </c>
      <c r="AA153" s="31" t="s">
        <v>302</v>
      </c>
      <c r="AB153" s="31" t="s">
        <v>302</v>
      </c>
      <c r="AC153" s="31"/>
      <c r="AD153" s="31"/>
      <c r="AE153" s="31"/>
      <c r="AF153" s="31"/>
      <c r="AG153" s="31"/>
      <c r="AH153" s="31"/>
      <c r="AI153" s="31"/>
      <c r="AJ153" s="31"/>
      <c r="AK153" s="31"/>
      <c r="AL153" s="31"/>
      <c r="AM153" s="31"/>
      <c r="AN153" s="31"/>
      <c r="AO153" s="31"/>
      <c r="AP153" s="31"/>
      <c r="AQ153" s="31"/>
      <c r="AR153" s="31"/>
      <c r="AS153" s="31"/>
      <c r="AT153" s="31"/>
      <c r="AU153" s="31"/>
    </row>
    <row r="154" spans="7:47" x14ac:dyDescent="0.25">
      <c r="G154" s="37">
        <f t="shared" si="6"/>
        <v>6</v>
      </c>
      <c r="H154" s="37" t="str">
        <f t="shared" si="8"/>
        <v>K152:K157</v>
      </c>
      <c r="I154" s="33" t="s">
        <v>12</v>
      </c>
      <c r="J154" s="42" t="s">
        <v>53</v>
      </c>
      <c r="K154" s="33" t="s">
        <v>13</v>
      </c>
      <c r="L154" s="42" t="s">
        <v>52</v>
      </c>
      <c r="M154" s="42" t="s">
        <v>305</v>
      </c>
      <c r="N154" s="43" t="str">
        <f t="shared" si="7"/>
        <v>legend|position</v>
      </c>
      <c r="O154" s="31" t="s">
        <v>38</v>
      </c>
      <c r="P154" s="31" t="s">
        <v>39</v>
      </c>
      <c r="Q154" s="31" t="s">
        <v>40</v>
      </c>
      <c r="R154" s="31" t="s">
        <v>41</v>
      </c>
      <c r="S154" s="31" t="s">
        <v>243</v>
      </c>
      <c r="T154" s="31" t="s">
        <v>244</v>
      </c>
      <c r="U154" s="31" t="s">
        <v>245</v>
      </c>
      <c r="V154" s="31" t="s">
        <v>246</v>
      </c>
      <c r="W154" s="31"/>
      <c r="X154" s="31"/>
      <c r="Y154" s="31"/>
      <c r="Z154" s="31"/>
      <c r="AA154" s="31"/>
      <c r="AB154" s="31"/>
      <c r="AC154" s="31"/>
      <c r="AD154" s="31"/>
      <c r="AE154" s="31"/>
      <c r="AF154" s="31"/>
      <c r="AG154" s="31"/>
      <c r="AH154" s="31"/>
      <c r="AI154" s="31"/>
      <c r="AJ154" s="31"/>
      <c r="AK154" s="31"/>
      <c r="AL154" s="31"/>
      <c r="AM154" s="31"/>
      <c r="AN154" s="31"/>
      <c r="AO154" s="31"/>
      <c r="AP154" s="31"/>
      <c r="AQ154" s="31"/>
      <c r="AR154" s="31"/>
      <c r="AS154" s="31"/>
      <c r="AT154" s="31"/>
      <c r="AU154" s="31"/>
    </row>
    <row r="155" spans="7:47" x14ac:dyDescent="0.25">
      <c r="G155" s="37">
        <f t="shared" si="6"/>
        <v>6</v>
      </c>
      <c r="H155" s="37" t="str">
        <f t="shared" si="8"/>
        <v>K152:K157</v>
      </c>
      <c r="I155" s="33" t="s">
        <v>12</v>
      </c>
      <c r="J155" s="42" t="s">
        <v>53</v>
      </c>
      <c r="K155" s="33" t="s">
        <v>213</v>
      </c>
      <c r="L155" s="42" t="s">
        <v>54</v>
      </c>
      <c r="M155" s="42" t="s">
        <v>304</v>
      </c>
      <c r="N155" s="43" t="str">
        <f t="shared" si="7"/>
        <v>legend|show</v>
      </c>
      <c r="O155" s="31" t="s">
        <v>302</v>
      </c>
      <c r="P155" s="31" t="s">
        <v>302</v>
      </c>
      <c r="Q155" s="31" t="s">
        <v>302</v>
      </c>
      <c r="R155" s="31" t="s">
        <v>302</v>
      </c>
      <c r="S155" s="31" t="s">
        <v>302</v>
      </c>
      <c r="T155" s="31" t="s">
        <v>302</v>
      </c>
      <c r="U155" s="31" t="s">
        <v>302</v>
      </c>
      <c r="V155" s="31" t="s">
        <v>302</v>
      </c>
      <c r="W155" s="31" t="s">
        <v>302</v>
      </c>
      <c r="X155" s="31" t="s">
        <v>302</v>
      </c>
      <c r="Y155" s="31" t="s">
        <v>302</v>
      </c>
      <c r="Z155" s="31" t="s">
        <v>302</v>
      </c>
      <c r="AA155" s="31" t="s">
        <v>302</v>
      </c>
      <c r="AB155" s="31" t="s">
        <v>302</v>
      </c>
      <c r="AC155" s="31"/>
      <c r="AD155" s="31"/>
      <c r="AE155" s="31"/>
      <c r="AF155" s="31"/>
      <c r="AG155" s="31"/>
      <c r="AH155" s="31"/>
      <c r="AI155" s="31"/>
      <c r="AJ155" s="31"/>
      <c r="AK155" s="31"/>
      <c r="AL155" s="31"/>
      <c r="AM155" s="31"/>
      <c r="AN155" s="31"/>
      <c r="AO155" s="31"/>
      <c r="AP155" s="31"/>
      <c r="AQ155" s="31"/>
      <c r="AR155" s="31"/>
      <c r="AS155" s="31"/>
      <c r="AT155" s="31"/>
      <c r="AU155" s="31"/>
    </row>
    <row r="156" spans="7:47" x14ac:dyDescent="0.25">
      <c r="G156" s="37">
        <f t="shared" si="6"/>
        <v>6</v>
      </c>
      <c r="H156" s="37" t="str">
        <f t="shared" si="8"/>
        <v>K152:K157</v>
      </c>
      <c r="I156" s="33" t="s">
        <v>12</v>
      </c>
      <c r="J156" s="42" t="s">
        <v>53</v>
      </c>
      <c r="K156" s="33" t="s">
        <v>16</v>
      </c>
      <c r="L156" s="42" t="s">
        <v>4</v>
      </c>
      <c r="M156" s="42" t="s">
        <v>307</v>
      </c>
      <c r="N156" s="43" t="str">
        <f t="shared" si="7"/>
        <v>legend|fontSize</v>
      </c>
      <c r="O156" s="31" t="s">
        <v>302</v>
      </c>
      <c r="P156" s="31" t="s">
        <v>302</v>
      </c>
      <c r="Q156" s="31" t="s">
        <v>302</v>
      </c>
      <c r="R156" s="31" t="s">
        <v>302</v>
      </c>
      <c r="S156" s="31" t="s">
        <v>302</v>
      </c>
      <c r="T156" s="31" t="s">
        <v>302</v>
      </c>
      <c r="U156" s="31" t="s">
        <v>302</v>
      </c>
      <c r="V156" s="31" t="s">
        <v>302</v>
      </c>
      <c r="W156" s="31" t="s">
        <v>302</v>
      </c>
      <c r="X156" s="31" t="s">
        <v>302</v>
      </c>
      <c r="Y156" s="31" t="s">
        <v>302</v>
      </c>
      <c r="Z156" s="31" t="s">
        <v>302</v>
      </c>
      <c r="AA156" s="31" t="s">
        <v>302</v>
      </c>
      <c r="AB156" s="31" t="s">
        <v>302</v>
      </c>
      <c r="AC156" s="31"/>
      <c r="AD156" s="31"/>
      <c r="AE156" s="31"/>
      <c r="AF156" s="31"/>
      <c r="AG156" s="31"/>
      <c r="AH156" s="31"/>
      <c r="AI156" s="31"/>
      <c r="AJ156" s="31"/>
      <c r="AK156" s="31"/>
      <c r="AL156" s="31"/>
      <c r="AM156" s="31"/>
      <c r="AN156" s="31"/>
      <c r="AO156" s="31"/>
      <c r="AP156" s="31"/>
      <c r="AQ156" s="31"/>
      <c r="AR156" s="31"/>
      <c r="AS156" s="31"/>
      <c r="AT156" s="31"/>
      <c r="AU156" s="31"/>
    </row>
    <row r="157" spans="7:47" x14ac:dyDescent="0.25">
      <c r="G157" s="37">
        <f t="shared" si="6"/>
        <v>6</v>
      </c>
      <c r="H157" s="37" t="str">
        <f t="shared" si="8"/>
        <v>K152:K157</v>
      </c>
      <c r="I157" s="33" t="s">
        <v>12</v>
      </c>
      <c r="J157" s="42" t="s">
        <v>53</v>
      </c>
      <c r="K157" s="33" t="s">
        <v>14</v>
      </c>
      <c r="L157" s="42" t="s">
        <v>306</v>
      </c>
      <c r="M157" s="42" t="s">
        <v>304</v>
      </c>
      <c r="N157" s="43" t="str">
        <f t="shared" si="7"/>
        <v>legend|showTitle</v>
      </c>
      <c r="O157" s="31" t="s">
        <v>302</v>
      </c>
      <c r="P157" s="31" t="s">
        <v>302</v>
      </c>
      <c r="Q157" s="31" t="s">
        <v>302</v>
      </c>
      <c r="R157" s="31" t="s">
        <v>302</v>
      </c>
      <c r="S157" s="31" t="s">
        <v>302</v>
      </c>
      <c r="T157" s="31" t="s">
        <v>302</v>
      </c>
      <c r="U157" s="31" t="s">
        <v>302</v>
      </c>
      <c r="V157" s="31" t="s">
        <v>302</v>
      </c>
      <c r="W157" s="31" t="s">
        <v>302</v>
      </c>
      <c r="X157" s="31" t="s">
        <v>302</v>
      </c>
      <c r="Y157" s="31" t="s">
        <v>302</v>
      </c>
      <c r="Z157" s="31" t="s">
        <v>302</v>
      </c>
      <c r="AA157" s="31" t="s">
        <v>302</v>
      </c>
      <c r="AB157" s="31" t="s">
        <v>302</v>
      </c>
      <c r="AC157" s="31"/>
      <c r="AD157" s="31"/>
      <c r="AE157" s="31"/>
      <c r="AF157" s="31"/>
      <c r="AG157" s="31"/>
      <c r="AH157" s="31"/>
      <c r="AI157" s="31"/>
      <c r="AJ157" s="31"/>
      <c r="AK157" s="31"/>
      <c r="AL157" s="31"/>
      <c r="AM157" s="31"/>
      <c r="AN157" s="31"/>
      <c r="AO157" s="31"/>
      <c r="AP157" s="31"/>
      <c r="AQ157" s="31"/>
      <c r="AR157" s="31"/>
      <c r="AS157" s="31"/>
      <c r="AT157" s="31"/>
      <c r="AU157" s="31"/>
    </row>
    <row r="158" spans="7:47" x14ac:dyDescent="0.25">
      <c r="G158" s="37">
        <f t="shared" si="6"/>
        <v>5</v>
      </c>
      <c r="H158" s="37" t="str">
        <f t="shared" si="8"/>
        <v>K158:K162</v>
      </c>
      <c r="I158" s="33" t="s">
        <v>289</v>
      </c>
      <c r="J158" s="42" t="s">
        <v>289</v>
      </c>
      <c r="K158" s="33" t="s">
        <v>27</v>
      </c>
      <c r="L158" s="42" t="s">
        <v>352</v>
      </c>
      <c r="M158" s="42" t="s">
        <v>307</v>
      </c>
      <c r="N158" s="43" t="str">
        <f t="shared" si="7"/>
        <v>line|dataLabelDisplayUnits</v>
      </c>
      <c r="O158" s="31" t="s">
        <v>302</v>
      </c>
      <c r="P158" s="31" t="s">
        <v>302</v>
      </c>
      <c r="Q158" s="31" t="s">
        <v>302</v>
      </c>
      <c r="R158" s="31" t="s">
        <v>302</v>
      </c>
      <c r="S158" s="31" t="s">
        <v>302</v>
      </c>
      <c r="T158" s="31" t="s">
        <v>302</v>
      </c>
      <c r="U158" s="31" t="s">
        <v>302</v>
      </c>
      <c r="V158" s="31" t="s">
        <v>302</v>
      </c>
      <c r="W158" s="31" t="s">
        <v>302</v>
      </c>
      <c r="X158" s="31" t="s">
        <v>302</v>
      </c>
      <c r="Y158" s="31" t="s">
        <v>302</v>
      </c>
      <c r="Z158" s="31" t="s">
        <v>302</v>
      </c>
      <c r="AA158" s="31" t="s">
        <v>302</v>
      </c>
      <c r="AB158" s="31" t="s">
        <v>302</v>
      </c>
      <c r="AC158" s="31"/>
      <c r="AD158" s="31"/>
      <c r="AE158" s="31"/>
      <c r="AF158" s="31"/>
      <c r="AG158" s="31"/>
      <c r="AH158" s="31"/>
      <c r="AI158" s="31"/>
      <c r="AJ158" s="31"/>
      <c r="AK158" s="31"/>
      <c r="AL158" s="31"/>
      <c r="AM158" s="31"/>
      <c r="AN158" s="31"/>
      <c r="AO158" s="31"/>
      <c r="AP158" s="31"/>
      <c r="AQ158" s="31"/>
      <c r="AR158" s="31"/>
      <c r="AS158" s="31"/>
      <c r="AT158" s="31"/>
      <c r="AU158" s="31"/>
    </row>
    <row r="159" spans="7:47" x14ac:dyDescent="0.25">
      <c r="G159" s="37">
        <f t="shared" si="6"/>
        <v>5</v>
      </c>
      <c r="H159" s="37" t="str">
        <f t="shared" si="8"/>
        <v>K158:K162</v>
      </c>
      <c r="I159" s="33" t="s">
        <v>289</v>
      </c>
      <c r="J159" s="42" t="s">
        <v>289</v>
      </c>
      <c r="K159" s="33" t="s">
        <v>458</v>
      </c>
      <c r="L159" s="42" t="s">
        <v>347</v>
      </c>
      <c r="M159" s="42" t="s">
        <v>104</v>
      </c>
      <c r="N159" s="43" t="str">
        <f t="shared" si="7"/>
        <v>line|lineColor</v>
      </c>
      <c r="O159" s="31" t="s">
        <v>302</v>
      </c>
      <c r="P159" s="31" t="s">
        <v>302</v>
      </c>
      <c r="Q159" s="31" t="s">
        <v>302</v>
      </c>
      <c r="R159" s="31" t="s">
        <v>302</v>
      </c>
      <c r="S159" s="31" t="s">
        <v>302</v>
      </c>
      <c r="T159" s="31" t="s">
        <v>302</v>
      </c>
      <c r="U159" s="31" t="s">
        <v>302</v>
      </c>
      <c r="V159" s="31" t="s">
        <v>302</v>
      </c>
      <c r="W159" s="31" t="s">
        <v>302</v>
      </c>
      <c r="X159" s="31" t="s">
        <v>302</v>
      </c>
      <c r="Y159" s="31" t="s">
        <v>302</v>
      </c>
      <c r="Z159" s="31" t="s">
        <v>302</v>
      </c>
      <c r="AA159" s="31" t="s">
        <v>302</v>
      </c>
      <c r="AB159" s="31" t="s">
        <v>302</v>
      </c>
      <c r="AC159" s="31"/>
      <c r="AD159" s="31"/>
      <c r="AE159" s="31"/>
      <c r="AF159" s="31"/>
      <c r="AG159" s="31"/>
      <c r="AH159" s="31"/>
      <c r="AI159" s="31"/>
      <c r="AJ159" s="31"/>
      <c r="AK159" s="31"/>
      <c r="AL159" s="31"/>
      <c r="AM159" s="31"/>
      <c r="AN159" s="31"/>
      <c r="AO159" s="31"/>
      <c r="AP159" s="31"/>
      <c r="AQ159" s="31"/>
      <c r="AR159" s="31"/>
      <c r="AS159" s="31"/>
      <c r="AT159" s="31"/>
      <c r="AU159" s="31"/>
    </row>
    <row r="160" spans="7:47" x14ac:dyDescent="0.25">
      <c r="G160" s="37">
        <f t="shared" si="6"/>
        <v>5</v>
      </c>
      <c r="H160" s="37" t="str">
        <f t="shared" si="8"/>
        <v>K158:K162</v>
      </c>
      <c r="I160" s="33" t="s">
        <v>289</v>
      </c>
      <c r="J160" s="42" t="s">
        <v>289</v>
      </c>
      <c r="K160" s="33" t="s">
        <v>459</v>
      </c>
      <c r="L160" s="42" t="s">
        <v>355</v>
      </c>
      <c r="M160" s="42" t="s">
        <v>310</v>
      </c>
      <c r="N160" s="43" t="str">
        <f t="shared" si="7"/>
        <v>line|roundEdge</v>
      </c>
      <c r="O160" s="31" t="s">
        <v>302</v>
      </c>
      <c r="P160" s="31" t="s">
        <v>302</v>
      </c>
      <c r="Q160" s="31" t="s">
        <v>302</v>
      </c>
      <c r="R160" s="31" t="s">
        <v>302</v>
      </c>
      <c r="S160" s="31" t="s">
        <v>302</v>
      </c>
      <c r="T160" s="31" t="s">
        <v>302</v>
      </c>
      <c r="U160" s="31" t="s">
        <v>302</v>
      </c>
      <c r="V160" s="31" t="s">
        <v>302</v>
      </c>
      <c r="W160" s="31" t="s">
        <v>302</v>
      </c>
      <c r="X160" s="31" t="s">
        <v>302</v>
      </c>
      <c r="Y160" s="31" t="s">
        <v>302</v>
      </c>
      <c r="Z160" s="31" t="s">
        <v>302</v>
      </c>
      <c r="AA160" s="31" t="s">
        <v>302</v>
      </c>
      <c r="AB160" s="31" t="s">
        <v>302</v>
      </c>
      <c r="AC160" s="31"/>
      <c r="AD160" s="31"/>
      <c r="AE160" s="31"/>
      <c r="AF160" s="31"/>
      <c r="AG160" s="31"/>
      <c r="AH160" s="31"/>
      <c r="AI160" s="31"/>
      <c r="AJ160" s="31"/>
      <c r="AK160" s="31"/>
      <c r="AL160" s="31"/>
      <c r="AM160" s="31"/>
      <c r="AN160" s="31"/>
      <c r="AO160" s="31"/>
      <c r="AP160" s="31"/>
      <c r="AQ160" s="31"/>
      <c r="AR160" s="31"/>
      <c r="AS160" s="31"/>
      <c r="AT160" s="31"/>
      <c r="AU160" s="31"/>
    </row>
    <row r="161" spans="7:47" x14ac:dyDescent="0.25">
      <c r="G161" s="37">
        <f t="shared" si="6"/>
        <v>5</v>
      </c>
      <c r="H161" s="37" t="str">
        <f t="shared" si="8"/>
        <v>K158:K162</v>
      </c>
      <c r="I161" s="33" t="s">
        <v>289</v>
      </c>
      <c r="J161" s="42" t="s">
        <v>289</v>
      </c>
      <c r="K161" s="33" t="s">
        <v>32</v>
      </c>
      <c r="L161" s="42" t="s">
        <v>208</v>
      </c>
      <c r="M161" s="42" t="s">
        <v>310</v>
      </c>
      <c r="N161" s="43" t="str">
        <f t="shared" si="7"/>
        <v>line|transparency</v>
      </c>
      <c r="O161" s="31" t="s">
        <v>302</v>
      </c>
      <c r="P161" s="31" t="s">
        <v>302</v>
      </c>
      <c r="Q161" s="31" t="s">
        <v>302</v>
      </c>
      <c r="R161" s="31" t="s">
        <v>302</v>
      </c>
      <c r="S161" s="31" t="s">
        <v>302</v>
      </c>
      <c r="T161" s="31" t="s">
        <v>302</v>
      </c>
      <c r="U161" s="31" t="s">
        <v>302</v>
      </c>
      <c r="V161" s="31" t="s">
        <v>302</v>
      </c>
      <c r="W161" s="31" t="s">
        <v>302</v>
      </c>
      <c r="X161" s="31" t="s">
        <v>302</v>
      </c>
      <c r="Y161" s="31" t="s">
        <v>302</v>
      </c>
      <c r="Z161" s="31" t="s">
        <v>302</v>
      </c>
      <c r="AA161" s="31" t="s">
        <v>302</v>
      </c>
      <c r="AB161" s="31" t="s">
        <v>302</v>
      </c>
      <c r="AC161" s="31"/>
      <c r="AD161" s="31"/>
      <c r="AE161" s="31"/>
      <c r="AF161" s="31"/>
      <c r="AG161" s="31"/>
      <c r="AH161" s="31"/>
      <c r="AI161" s="31"/>
      <c r="AJ161" s="31"/>
      <c r="AK161" s="31"/>
      <c r="AL161" s="31"/>
      <c r="AM161" s="31"/>
      <c r="AN161" s="31"/>
      <c r="AO161" s="31"/>
      <c r="AP161" s="31"/>
      <c r="AQ161" s="31"/>
      <c r="AR161" s="31"/>
      <c r="AS161" s="31"/>
      <c r="AT161" s="31"/>
      <c r="AU161" s="31"/>
    </row>
    <row r="162" spans="7:47" x14ac:dyDescent="0.25">
      <c r="G162" s="37">
        <f t="shared" si="6"/>
        <v>5</v>
      </c>
      <c r="H162" s="37" t="str">
        <f t="shared" si="8"/>
        <v>K158:K162</v>
      </c>
      <c r="I162" s="33" t="s">
        <v>289</v>
      </c>
      <c r="J162" s="42" t="s">
        <v>289</v>
      </c>
      <c r="K162" s="33" t="s">
        <v>354</v>
      </c>
      <c r="L162" s="42" t="s">
        <v>353</v>
      </c>
      <c r="M162" s="42" t="s">
        <v>310</v>
      </c>
      <c r="N162" s="43" t="str">
        <f t="shared" si="7"/>
        <v>line|weight</v>
      </c>
      <c r="O162" s="31" t="s">
        <v>302</v>
      </c>
      <c r="P162" s="31" t="s">
        <v>302</v>
      </c>
      <c r="Q162" s="31" t="s">
        <v>302</v>
      </c>
      <c r="R162" s="31" t="s">
        <v>302</v>
      </c>
      <c r="S162" s="31" t="s">
        <v>302</v>
      </c>
      <c r="T162" s="31" t="s">
        <v>302</v>
      </c>
      <c r="U162" s="31" t="s">
        <v>302</v>
      </c>
      <c r="V162" s="31" t="s">
        <v>302</v>
      </c>
      <c r="W162" s="31" t="s">
        <v>302</v>
      </c>
      <c r="X162" s="31" t="s">
        <v>302</v>
      </c>
      <c r="Y162" s="31" t="s">
        <v>302</v>
      </c>
      <c r="Z162" s="31" t="s">
        <v>302</v>
      </c>
      <c r="AA162" s="31" t="s">
        <v>302</v>
      </c>
      <c r="AB162" s="31" t="s">
        <v>302</v>
      </c>
      <c r="AC162" s="31"/>
      <c r="AD162" s="31"/>
      <c r="AE162" s="31"/>
      <c r="AF162" s="31"/>
      <c r="AG162" s="31"/>
      <c r="AH162" s="31"/>
      <c r="AI162" s="31"/>
      <c r="AJ162" s="31"/>
      <c r="AK162" s="31"/>
      <c r="AL162" s="31"/>
      <c r="AM162" s="31"/>
      <c r="AN162" s="31"/>
      <c r="AO162" s="31"/>
      <c r="AP162" s="31"/>
      <c r="AQ162" s="31"/>
      <c r="AR162" s="31"/>
      <c r="AS162" s="31"/>
      <c r="AT162" s="31"/>
      <c r="AU162" s="31"/>
    </row>
    <row r="163" spans="7:47" x14ac:dyDescent="0.25">
      <c r="G163" s="37">
        <f t="shared" si="6"/>
        <v>2</v>
      </c>
      <c r="H163" s="37" t="str">
        <f t="shared" si="8"/>
        <v>K163:K164</v>
      </c>
      <c r="I163" s="33" t="s">
        <v>156</v>
      </c>
      <c r="J163" s="42" t="s">
        <v>113</v>
      </c>
      <c r="K163" s="33" t="s">
        <v>467</v>
      </c>
      <c r="L163" s="42" t="s">
        <v>371</v>
      </c>
      <c r="M163" s="42" t="s">
        <v>304</v>
      </c>
      <c r="N163" s="43" t="str">
        <f t="shared" si="7"/>
        <v>mapControls|autoZoom</v>
      </c>
      <c r="O163" s="31" t="s">
        <v>302</v>
      </c>
      <c r="P163" s="31" t="s">
        <v>302</v>
      </c>
      <c r="Q163" s="31" t="s">
        <v>302</v>
      </c>
      <c r="R163" s="31" t="s">
        <v>302</v>
      </c>
      <c r="S163" s="31" t="s">
        <v>302</v>
      </c>
      <c r="T163" s="31" t="s">
        <v>302</v>
      </c>
      <c r="U163" s="31" t="s">
        <v>302</v>
      </c>
      <c r="V163" s="31" t="s">
        <v>302</v>
      </c>
      <c r="W163" s="31" t="s">
        <v>302</v>
      </c>
      <c r="X163" s="31" t="s">
        <v>302</v>
      </c>
      <c r="Y163" s="31" t="s">
        <v>302</v>
      </c>
      <c r="Z163" s="31" t="s">
        <v>302</v>
      </c>
      <c r="AA163" s="31" t="s">
        <v>302</v>
      </c>
      <c r="AB163" s="31" t="s">
        <v>302</v>
      </c>
      <c r="AC163" s="31"/>
      <c r="AD163" s="31"/>
      <c r="AE163" s="31"/>
      <c r="AF163" s="31"/>
      <c r="AG163" s="31"/>
      <c r="AH163" s="31"/>
      <c r="AI163" s="31"/>
      <c r="AJ163" s="31"/>
      <c r="AK163" s="31"/>
      <c r="AL163" s="31"/>
      <c r="AM163" s="31"/>
      <c r="AN163" s="31"/>
      <c r="AO163" s="31"/>
      <c r="AP163" s="31"/>
      <c r="AQ163" s="31"/>
      <c r="AR163" s="31"/>
      <c r="AS163" s="31"/>
      <c r="AT163" s="31"/>
      <c r="AU163" s="31"/>
    </row>
    <row r="164" spans="7:47" x14ac:dyDescent="0.25">
      <c r="G164" s="37">
        <f t="shared" si="6"/>
        <v>2</v>
      </c>
      <c r="H164" s="37" t="str">
        <f t="shared" si="8"/>
        <v>K163:K164</v>
      </c>
      <c r="I164" s="33" t="s">
        <v>156</v>
      </c>
      <c r="J164" s="42" t="s">
        <v>113</v>
      </c>
      <c r="K164" s="33" t="s">
        <v>308</v>
      </c>
      <c r="L164" s="42" t="s">
        <v>370</v>
      </c>
      <c r="M164" s="42" t="s">
        <v>307</v>
      </c>
      <c r="N164" s="43" t="str">
        <f t="shared" si="7"/>
        <v>mapControls|bubbleSize</v>
      </c>
      <c r="O164" s="31" t="s">
        <v>302</v>
      </c>
      <c r="P164" s="31" t="s">
        <v>302</v>
      </c>
      <c r="Q164" s="31" t="s">
        <v>302</v>
      </c>
      <c r="R164" s="31" t="s">
        <v>302</v>
      </c>
      <c r="S164" s="31" t="s">
        <v>302</v>
      </c>
      <c r="T164" s="31" t="s">
        <v>302</v>
      </c>
      <c r="U164" s="31" t="s">
        <v>302</v>
      </c>
      <c r="V164" s="31" t="s">
        <v>302</v>
      </c>
      <c r="W164" s="31" t="s">
        <v>302</v>
      </c>
      <c r="X164" s="31" t="s">
        <v>302</v>
      </c>
      <c r="Y164" s="31" t="s">
        <v>302</v>
      </c>
      <c r="Z164" s="31" t="s">
        <v>302</v>
      </c>
      <c r="AA164" s="31" t="s">
        <v>302</v>
      </c>
      <c r="AB164" s="31" t="s">
        <v>302</v>
      </c>
      <c r="AC164" s="31"/>
      <c r="AD164" s="31"/>
      <c r="AE164" s="31"/>
      <c r="AF164" s="31"/>
      <c r="AG164" s="31"/>
      <c r="AH164" s="31"/>
      <c r="AI164" s="31"/>
      <c r="AJ164" s="31"/>
      <c r="AK164" s="31"/>
      <c r="AL164" s="31"/>
      <c r="AM164" s="31"/>
      <c r="AN164" s="31"/>
      <c r="AO164" s="31"/>
      <c r="AP164" s="31"/>
      <c r="AQ164" s="31"/>
      <c r="AR164" s="31"/>
      <c r="AS164" s="31"/>
      <c r="AT164" s="31"/>
      <c r="AU164" s="31"/>
    </row>
    <row r="165" spans="7:47" x14ac:dyDescent="0.25">
      <c r="G165" s="37">
        <f t="shared" si="6"/>
        <v>1</v>
      </c>
      <c r="H165" s="37" t="str">
        <f t="shared" si="8"/>
        <v>K165:K165</v>
      </c>
      <c r="I165" s="33" t="s">
        <v>157</v>
      </c>
      <c r="J165" s="42" t="s">
        <v>114</v>
      </c>
      <c r="K165" s="33" t="s">
        <v>372</v>
      </c>
      <c r="L165" s="42" t="s">
        <v>240</v>
      </c>
      <c r="M165" s="42" t="s">
        <v>305</v>
      </c>
      <c r="N165" s="43" t="str">
        <f t="shared" si="7"/>
        <v>mapStyles|mapTheme</v>
      </c>
      <c r="O165" s="31" t="s">
        <v>291</v>
      </c>
      <c r="P165" s="31" t="s">
        <v>292</v>
      </c>
      <c r="Q165" s="31" t="s">
        <v>293</v>
      </c>
      <c r="R165" s="31" t="s">
        <v>294</v>
      </c>
      <c r="S165" s="31" t="s">
        <v>295</v>
      </c>
      <c r="T165" s="31"/>
      <c r="U165" s="31"/>
      <c r="V165" s="31"/>
      <c r="W165" s="31"/>
      <c r="X165" s="31"/>
      <c r="Y165" s="31"/>
      <c r="Z165" s="31"/>
      <c r="AA165" s="31"/>
      <c r="AB165" s="31"/>
      <c r="AC165" s="31"/>
      <c r="AD165" s="31"/>
      <c r="AE165" s="31"/>
      <c r="AF165" s="31"/>
      <c r="AG165" s="31"/>
      <c r="AH165" s="31"/>
      <c r="AI165" s="31"/>
      <c r="AJ165" s="31"/>
      <c r="AK165" s="31"/>
      <c r="AL165" s="31"/>
      <c r="AM165" s="31"/>
      <c r="AN165" s="31"/>
      <c r="AO165" s="31"/>
      <c r="AP165" s="31"/>
      <c r="AQ165" s="31"/>
      <c r="AR165" s="31"/>
      <c r="AS165" s="31"/>
      <c r="AT165" s="31"/>
      <c r="AU165" s="31"/>
    </row>
    <row r="166" spans="7:47" x14ac:dyDescent="0.25">
      <c r="G166" s="37">
        <f t="shared" si="6"/>
        <v>4</v>
      </c>
      <c r="H166" s="37" t="str">
        <f t="shared" si="8"/>
        <v>K166:K169</v>
      </c>
      <c r="I166" s="33" t="s">
        <v>158</v>
      </c>
      <c r="J166" s="42" t="s">
        <v>115</v>
      </c>
      <c r="K166" s="33" t="s">
        <v>35</v>
      </c>
      <c r="L166" s="42" t="s">
        <v>3</v>
      </c>
      <c r="M166" s="42" t="s">
        <v>104</v>
      </c>
      <c r="N166" s="43" t="str">
        <f t="shared" si="7"/>
        <v>numericInputStyle|background</v>
      </c>
      <c r="O166" s="31" t="s">
        <v>302</v>
      </c>
      <c r="P166" s="31" t="s">
        <v>302</v>
      </c>
      <c r="Q166" s="31" t="s">
        <v>302</v>
      </c>
      <c r="R166" s="31" t="s">
        <v>302</v>
      </c>
      <c r="S166" s="31" t="s">
        <v>302</v>
      </c>
      <c r="T166" s="31" t="s">
        <v>302</v>
      </c>
      <c r="U166" s="31" t="s">
        <v>302</v>
      </c>
      <c r="V166" s="31" t="s">
        <v>302</v>
      </c>
      <c r="W166" s="31" t="s">
        <v>302</v>
      </c>
      <c r="X166" s="31" t="s">
        <v>302</v>
      </c>
      <c r="Y166" s="31" t="s">
        <v>302</v>
      </c>
      <c r="Z166" s="31" t="s">
        <v>302</v>
      </c>
      <c r="AA166" s="31" t="s">
        <v>302</v>
      </c>
      <c r="AB166" s="31" t="s">
        <v>302</v>
      </c>
      <c r="AC166" s="31"/>
      <c r="AD166" s="31"/>
      <c r="AE166" s="31"/>
      <c r="AF166" s="31"/>
      <c r="AG166" s="31"/>
      <c r="AH166" s="31"/>
      <c r="AI166" s="31"/>
      <c r="AJ166" s="31"/>
      <c r="AK166" s="31"/>
      <c r="AL166" s="31"/>
      <c r="AM166" s="31"/>
      <c r="AN166" s="31"/>
      <c r="AO166" s="31"/>
      <c r="AP166" s="31"/>
      <c r="AQ166" s="31"/>
      <c r="AR166" s="31"/>
      <c r="AS166" s="31"/>
      <c r="AT166" s="31"/>
      <c r="AU166" s="31"/>
    </row>
    <row r="167" spans="7:47" x14ac:dyDescent="0.25">
      <c r="G167" s="37">
        <f t="shared" si="6"/>
        <v>4</v>
      </c>
      <c r="H167" s="37" t="str">
        <f t="shared" si="8"/>
        <v>K166:K169</v>
      </c>
      <c r="I167" s="33" t="s">
        <v>158</v>
      </c>
      <c r="J167" s="42" t="s">
        <v>115</v>
      </c>
      <c r="K167" s="33" t="s">
        <v>33</v>
      </c>
      <c r="L167" s="42" t="s">
        <v>211</v>
      </c>
      <c r="M167" s="42" t="s">
        <v>104</v>
      </c>
      <c r="N167" s="43" t="str">
        <f t="shared" si="7"/>
        <v>numericInputStyle|fontColor</v>
      </c>
      <c r="O167" s="31" t="s">
        <v>302</v>
      </c>
      <c r="P167" s="31" t="s">
        <v>302</v>
      </c>
      <c r="Q167" s="31" t="s">
        <v>302</v>
      </c>
      <c r="R167" s="31" t="s">
        <v>302</v>
      </c>
      <c r="S167" s="31" t="s">
        <v>302</v>
      </c>
      <c r="T167" s="31" t="s">
        <v>302</v>
      </c>
      <c r="U167" s="31" t="s">
        <v>302</v>
      </c>
      <c r="V167" s="31" t="s">
        <v>302</v>
      </c>
      <c r="W167" s="31" t="s">
        <v>302</v>
      </c>
      <c r="X167" s="31" t="s">
        <v>302</v>
      </c>
      <c r="Y167" s="31" t="s">
        <v>302</v>
      </c>
      <c r="Z167" s="31" t="s">
        <v>302</v>
      </c>
      <c r="AA167" s="31" t="s">
        <v>302</v>
      </c>
      <c r="AB167" s="31" t="s">
        <v>302</v>
      </c>
      <c r="AC167" s="31"/>
      <c r="AD167" s="31"/>
      <c r="AE167" s="31"/>
      <c r="AF167" s="31"/>
      <c r="AG167" s="31"/>
      <c r="AH167" s="31"/>
      <c r="AI167" s="31"/>
      <c r="AJ167" s="31"/>
      <c r="AK167" s="31"/>
      <c r="AL167" s="31"/>
      <c r="AM167" s="31"/>
      <c r="AN167" s="31"/>
      <c r="AO167" s="31"/>
      <c r="AP167" s="31"/>
      <c r="AQ167" s="31"/>
      <c r="AR167" s="31"/>
      <c r="AS167" s="31"/>
      <c r="AT167" s="31"/>
      <c r="AU167" s="31"/>
    </row>
    <row r="168" spans="7:47" x14ac:dyDescent="0.25">
      <c r="G168" s="37">
        <f t="shared" si="6"/>
        <v>4</v>
      </c>
      <c r="H168" s="37" t="str">
        <f t="shared" si="8"/>
        <v>K166:K169</v>
      </c>
      <c r="I168" s="33" t="s">
        <v>158</v>
      </c>
      <c r="J168" s="42" t="s">
        <v>115</v>
      </c>
      <c r="K168" s="33" t="s">
        <v>17</v>
      </c>
      <c r="L168" s="42" t="s">
        <v>5</v>
      </c>
      <c r="M168" s="42" t="s">
        <v>307</v>
      </c>
      <c r="N168" s="43" t="str">
        <f t="shared" si="7"/>
        <v>numericInputStyle|fontFamily</v>
      </c>
      <c r="O168" s="31" t="s">
        <v>302</v>
      </c>
      <c r="P168" s="31" t="s">
        <v>302</v>
      </c>
      <c r="Q168" s="31" t="s">
        <v>302</v>
      </c>
      <c r="R168" s="31" t="s">
        <v>302</v>
      </c>
      <c r="S168" s="31" t="s">
        <v>302</v>
      </c>
      <c r="T168" s="31" t="s">
        <v>302</v>
      </c>
      <c r="U168" s="31" t="s">
        <v>302</v>
      </c>
      <c r="V168" s="31" t="s">
        <v>302</v>
      </c>
      <c r="W168" s="31" t="s">
        <v>302</v>
      </c>
      <c r="X168" s="31" t="s">
        <v>302</v>
      </c>
      <c r="Y168" s="31" t="s">
        <v>302</v>
      </c>
      <c r="Z168" s="31" t="s">
        <v>302</v>
      </c>
      <c r="AA168" s="31" t="s">
        <v>302</v>
      </c>
      <c r="AB168" s="31" t="s">
        <v>302</v>
      </c>
      <c r="AC168" s="31"/>
      <c r="AD168" s="31"/>
      <c r="AE168" s="31"/>
      <c r="AF168" s="31"/>
      <c r="AG168" s="31"/>
      <c r="AH168" s="31"/>
      <c r="AI168" s="31"/>
      <c r="AJ168" s="31"/>
      <c r="AK168" s="31"/>
      <c r="AL168" s="31"/>
      <c r="AM168" s="31"/>
      <c r="AN168" s="31"/>
      <c r="AO168" s="31"/>
      <c r="AP168" s="31"/>
      <c r="AQ168" s="31"/>
      <c r="AR168" s="31"/>
      <c r="AS168" s="31"/>
      <c r="AT168" s="31"/>
      <c r="AU168" s="31"/>
    </row>
    <row r="169" spans="7:47" x14ac:dyDescent="0.25">
      <c r="G169" s="37">
        <f t="shared" si="6"/>
        <v>4</v>
      </c>
      <c r="H169" s="37" t="str">
        <f t="shared" si="8"/>
        <v>K166:K169</v>
      </c>
      <c r="I169" s="33" t="s">
        <v>158</v>
      </c>
      <c r="J169" s="42" t="s">
        <v>115</v>
      </c>
      <c r="K169" s="33" t="s">
        <v>16</v>
      </c>
      <c r="L169" s="42" t="s">
        <v>388</v>
      </c>
      <c r="M169" s="42" t="s">
        <v>310</v>
      </c>
      <c r="N169" s="43" t="str">
        <f t="shared" si="7"/>
        <v>numericInputStyle|textSize</v>
      </c>
      <c r="O169" s="31" t="s">
        <v>302</v>
      </c>
      <c r="P169" s="31" t="s">
        <v>302</v>
      </c>
      <c r="Q169" s="31" t="s">
        <v>302</v>
      </c>
      <c r="R169" s="31" t="s">
        <v>302</v>
      </c>
      <c r="S169" s="31" t="s">
        <v>302</v>
      </c>
      <c r="T169" s="31" t="s">
        <v>302</v>
      </c>
      <c r="U169" s="31" t="s">
        <v>302</v>
      </c>
      <c r="V169" s="31" t="s">
        <v>302</v>
      </c>
      <c r="W169" s="31" t="s">
        <v>302</v>
      </c>
      <c r="X169" s="31" t="s">
        <v>302</v>
      </c>
      <c r="Y169" s="31" t="s">
        <v>302</v>
      </c>
      <c r="Z169" s="31" t="s">
        <v>302</v>
      </c>
      <c r="AA169" s="31" t="s">
        <v>302</v>
      </c>
      <c r="AB169" s="31" t="s">
        <v>302</v>
      </c>
      <c r="AC169" s="31"/>
      <c r="AD169" s="31"/>
      <c r="AE169" s="31"/>
      <c r="AF169" s="31"/>
      <c r="AG169" s="31"/>
      <c r="AH169" s="31"/>
      <c r="AI169" s="31"/>
      <c r="AJ169" s="31"/>
      <c r="AK169" s="31"/>
      <c r="AL169" s="31"/>
      <c r="AM169" s="31"/>
      <c r="AN169" s="31"/>
      <c r="AO169" s="31"/>
      <c r="AP169" s="31"/>
      <c r="AQ169" s="31"/>
      <c r="AR169" s="31"/>
      <c r="AS169" s="31"/>
      <c r="AT169" s="31"/>
      <c r="AU169" s="31"/>
    </row>
    <row r="170" spans="7:47" x14ac:dyDescent="0.25">
      <c r="G170" s="37">
        <f t="shared" si="6"/>
        <v>2</v>
      </c>
      <c r="H170" s="37" t="str">
        <f t="shared" si="8"/>
        <v>K170:K171</v>
      </c>
      <c r="I170" s="33" t="s">
        <v>31</v>
      </c>
      <c r="J170" s="42" t="s">
        <v>117</v>
      </c>
      <c r="K170" s="33" t="s">
        <v>452</v>
      </c>
      <c r="L170" s="42" t="s">
        <v>346</v>
      </c>
      <c r="M170" s="42" t="s">
        <v>304</v>
      </c>
      <c r="N170" s="43" t="str">
        <f t="shared" si="7"/>
        <v>plotArea|shadeArea</v>
      </c>
      <c r="O170" s="31" t="s">
        <v>302</v>
      </c>
      <c r="P170" s="31" t="s">
        <v>302</v>
      </c>
      <c r="Q170" s="31" t="s">
        <v>302</v>
      </c>
      <c r="R170" s="31" t="s">
        <v>302</v>
      </c>
      <c r="S170" s="31" t="s">
        <v>302</v>
      </c>
      <c r="T170" s="31" t="s">
        <v>302</v>
      </c>
      <c r="U170" s="31" t="s">
        <v>302</v>
      </c>
      <c r="V170" s="31" t="s">
        <v>302</v>
      </c>
      <c r="W170" s="31" t="s">
        <v>302</v>
      </c>
      <c r="X170" s="31" t="s">
        <v>302</v>
      </c>
      <c r="Y170" s="31" t="s">
        <v>302</v>
      </c>
      <c r="Z170" s="31" t="s">
        <v>302</v>
      </c>
      <c r="AA170" s="31" t="s">
        <v>302</v>
      </c>
      <c r="AB170" s="31" t="s">
        <v>302</v>
      </c>
      <c r="AC170" s="31"/>
      <c r="AD170" s="31"/>
      <c r="AE170" s="31"/>
      <c r="AF170" s="31"/>
      <c r="AG170" s="31"/>
      <c r="AH170" s="31"/>
      <c r="AI170" s="31"/>
      <c r="AJ170" s="31"/>
      <c r="AK170" s="31"/>
      <c r="AL170" s="31"/>
      <c r="AM170" s="31"/>
      <c r="AN170" s="31"/>
      <c r="AO170" s="31"/>
      <c r="AP170" s="31"/>
      <c r="AQ170" s="31"/>
      <c r="AR170" s="31"/>
      <c r="AS170" s="31"/>
      <c r="AT170" s="31"/>
      <c r="AU170" s="31"/>
    </row>
    <row r="171" spans="7:47" x14ac:dyDescent="0.25">
      <c r="G171" s="37">
        <f t="shared" si="6"/>
        <v>2</v>
      </c>
      <c r="H171" s="37" t="str">
        <f t="shared" si="8"/>
        <v>K170:K171</v>
      </c>
      <c r="I171" s="33" t="s">
        <v>31</v>
      </c>
      <c r="J171" s="42" t="s">
        <v>117</v>
      </c>
      <c r="K171" s="33" t="s">
        <v>32</v>
      </c>
      <c r="L171" s="42" t="s">
        <v>208</v>
      </c>
      <c r="M171" s="42" t="s">
        <v>310</v>
      </c>
      <c r="N171" s="43" t="str">
        <f t="shared" si="7"/>
        <v>plotArea|transparency</v>
      </c>
      <c r="O171" s="31" t="s">
        <v>302</v>
      </c>
      <c r="P171" s="31" t="s">
        <v>302</v>
      </c>
      <c r="Q171" s="31" t="s">
        <v>302</v>
      </c>
      <c r="R171" s="31" t="s">
        <v>302</v>
      </c>
      <c r="S171" s="31" t="s">
        <v>302</v>
      </c>
      <c r="T171" s="31" t="s">
        <v>302</v>
      </c>
      <c r="U171" s="31" t="s">
        <v>302</v>
      </c>
      <c r="V171" s="31" t="s">
        <v>302</v>
      </c>
      <c r="W171" s="31" t="s">
        <v>302</v>
      </c>
      <c r="X171" s="31" t="s">
        <v>302</v>
      </c>
      <c r="Y171" s="31" t="s">
        <v>302</v>
      </c>
      <c r="Z171" s="31" t="s">
        <v>302</v>
      </c>
      <c r="AA171" s="31" t="s">
        <v>302</v>
      </c>
      <c r="AB171" s="31" t="s">
        <v>302</v>
      </c>
      <c r="AC171" s="31"/>
      <c r="AD171" s="31"/>
      <c r="AE171" s="31"/>
      <c r="AF171" s="31"/>
      <c r="AG171" s="31"/>
      <c r="AH171" s="31"/>
      <c r="AI171" s="31"/>
      <c r="AJ171" s="31"/>
      <c r="AK171" s="31"/>
      <c r="AL171" s="31"/>
      <c r="AM171" s="31"/>
      <c r="AN171" s="31"/>
      <c r="AO171" s="31"/>
      <c r="AP171" s="31"/>
      <c r="AQ171" s="31"/>
      <c r="AR171" s="31"/>
      <c r="AS171" s="31"/>
      <c r="AT171" s="31"/>
      <c r="AU171" s="31"/>
    </row>
    <row r="172" spans="7:47" x14ac:dyDescent="0.25">
      <c r="G172" s="37">
        <f t="shared" si="6"/>
        <v>4</v>
      </c>
      <c r="H172" s="37" t="str">
        <f t="shared" si="8"/>
        <v>K172:K175</v>
      </c>
      <c r="I172" s="33" t="s">
        <v>161</v>
      </c>
      <c r="J172" s="42" t="s">
        <v>119</v>
      </c>
      <c r="K172" s="33" t="s">
        <v>15</v>
      </c>
      <c r="L172" s="42" t="s">
        <v>347</v>
      </c>
      <c r="M172" s="42" t="s">
        <v>104</v>
      </c>
      <c r="N172" s="43" t="str">
        <f t="shared" si="7"/>
        <v>ratioLine|lineColor</v>
      </c>
      <c r="O172" s="31" t="s">
        <v>302</v>
      </c>
      <c r="P172" s="31" t="s">
        <v>302</v>
      </c>
      <c r="Q172" s="31" t="s">
        <v>302</v>
      </c>
      <c r="R172" s="31" t="s">
        <v>302</v>
      </c>
      <c r="S172" s="31" t="s">
        <v>302</v>
      </c>
      <c r="T172" s="31" t="s">
        <v>302</v>
      </c>
      <c r="U172" s="31" t="s">
        <v>302</v>
      </c>
      <c r="V172" s="31" t="s">
        <v>302</v>
      </c>
      <c r="W172" s="31" t="s">
        <v>302</v>
      </c>
      <c r="X172" s="31" t="s">
        <v>302</v>
      </c>
      <c r="Y172" s="31" t="s">
        <v>302</v>
      </c>
      <c r="Z172" s="31" t="s">
        <v>302</v>
      </c>
      <c r="AA172" s="31" t="s">
        <v>302</v>
      </c>
      <c r="AB172" s="31" t="s">
        <v>302</v>
      </c>
      <c r="AC172" s="31"/>
      <c r="AD172" s="31"/>
      <c r="AE172" s="31"/>
      <c r="AF172" s="31"/>
      <c r="AG172" s="31"/>
      <c r="AH172" s="31"/>
      <c r="AI172" s="31"/>
      <c r="AJ172" s="31"/>
      <c r="AK172" s="31"/>
      <c r="AL172" s="31"/>
      <c r="AM172" s="31"/>
      <c r="AN172" s="31"/>
      <c r="AO172" s="31"/>
      <c r="AP172" s="31"/>
      <c r="AQ172" s="31"/>
      <c r="AR172" s="31"/>
      <c r="AS172" s="31"/>
      <c r="AT172" s="31"/>
      <c r="AU172" s="31"/>
    </row>
    <row r="173" spans="7:47" x14ac:dyDescent="0.25">
      <c r="G173" s="37">
        <f t="shared" si="6"/>
        <v>4</v>
      </c>
      <c r="H173" s="37" t="str">
        <f t="shared" si="8"/>
        <v>K172:K175</v>
      </c>
      <c r="I173" s="33" t="s">
        <v>161</v>
      </c>
      <c r="J173" s="42" t="s">
        <v>119</v>
      </c>
      <c r="K173" s="33" t="s">
        <v>30</v>
      </c>
      <c r="L173" s="42" t="s">
        <v>231</v>
      </c>
      <c r="M173" s="42" t="s">
        <v>305</v>
      </c>
      <c r="N173" s="43" t="str">
        <f t="shared" si="7"/>
        <v>ratioLine|style</v>
      </c>
      <c r="O173" s="31" t="s">
        <v>253</v>
      </c>
      <c r="P173" s="31" t="s">
        <v>254</v>
      </c>
      <c r="Q173" s="31" t="s">
        <v>255</v>
      </c>
      <c r="R173" s="31"/>
      <c r="S173" s="31"/>
      <c r="T173" s="31"/>
      <c r="U173" s="31"/>
      <c r="V173" s="31"/>
      <c r="W173" s="31"/>
      <c r="X173" s="31"/>
      <c r="Y173" s="31"/>
      <c r="Z173" s="31"/>
      <c r="AA173" s="31"/>
      <c r="AB173" s="31"/>
      <c r="AC173" s="31"/>
      <c r="AD173" s="31"/>
      <c r="AE173" s="31"/>
      <c r="AF173" s="31"/>
      <c r="AG173" s="31"/>
      <c r="AH173" s="31"/>
      <c r="AI173" s="31"/>
      <c r="AJ173" s="31"/>
      <c r="AK173" s="31"/>
      <c r="AL173" s="31"/>
      <c r="AM173" s="31"/>
      <c r="AN173" s="31"/>
      <c r="AO173" s="31"/>
      <c r="AP173" s="31"/>
      <c r="AQ173" s="31"/>
      <c r="AR173" s="31"/>
      <c r="AS173" s="31"/>
      <c r="AT173" s="31"/>
      <c r="AU173" s="31"/>
    </row>
    <row r="174" spans="7:47" x14ac:dyDescent="0.25">
      <c r="G174" s="37">
        <f t="shared" si="6"/>
        <v>4</v>
      </c>
      <c r="H174" s="37" t="str">
        <f t="shared" si="8"/>
        <v>K172:K175</v>
      </c>
      <c r="I174" s="33" t="s">
        <v>161</v>
      </c>
      <c r="J174" s="42" t="s">
        <v>119</v>
      </c>
      <c r="K174" s="33" t="s">
        <v>213</v>
      </c>
      <c r="L174" s="42" t="s">
        <v>54</v>
      </c>
      <c r="M174" s="42" t="s">
        <v>304</v>
      </c>
      <c r="N174" s="43" t="str">
        <f t="shared" si="7"/>
        <v>ratioLine|show</v>
      </c>
      <c r="O174" s="31" t="s">
        <v>302</v>
      </c>
      <c r="P174" s="31" t="s">
        <v>302</v>
      </c>
      <c r="Q174" s="31" t="s">
        <v>302</v>
      </c>
      <c r="R174" s="31" t="s">
        <v>302</v>
      </c>
      <c r="S174" s="31" t="s">
        <v>302</v>
      </c>
      <c r="T174" s="31" t="s">
        <v>302</v>
      </c>
      <c r="U174" s="31" t="s">
        <v>302</v>
      </c>
      <c r="V174" s="31" t="s">
        <v>302</v>
      </c>
      <c r="W174" s="31" t="s">
        <v>302</v>
      </c>
      <c r="X174" s="31" t="s">
        <v>302</v>
      </c>
      <c r="Y174" s="31" t="s">
        <v>302</v>
      </c>
      <c r="Z174" s="31" t="s">
        <v>302</v>
      </c>
      <c r="AA174" s="31" t="s">
        <v>302</v>
      </c>
      <c r="AB174" s="31" t="s">
        <v>302</v>
      </c>
      <c r="AC174" s="31"/>
      <c r="AD174" s="31"/>
      <c r="AE174" s="31"/>
      <c r="AF174" s="31"/>
      <c r="AG174" s="31"/>
      <c r="AH174" s="31"/>
      <c r="AI174" s="31"/>
      <c r="AJ174" s="31"/>
      <c r="AK174" s="31"/>
      <c r="AL174" s="31"/>
      <c r="AM174" s="31"/>
      <c r="AN174" s="31"/>
      <c r="AO174" s="31"/>
      <c r="AP174" s="31"/>
      <c r="AQ174" s="31"/>
      <c r="AR174" s="31"/>
      <c r="AS174" s="31"/>
      <c r="AT174" s="31"/>
      <c r="AU174" s="31"/>
    </row>
    <row r="175" spans="7:47" x14ac:dyDescent="0.25">
      <c r="G175" s="37">
        <f t="shared" si="6"/>
        <v>4</v>
      </c>
      <c r="H175" s="37" t="str">
        <f t="shared" si="8"/>
        <v>K172:K175</v>
      </c>
      <c r="I175" s="33" t="s">
        <v>161</v>
      </c>
      <c r="J175" s="42" t="s">
        <v>119</v>
      </c>
      <c r="K175" s="33" t="s">
        <v>32</v>
      </c>
      <c r="L175" s="42" t="s">
        <v>208</v>
      </c>
      <c r="M175" s="42" t="s">
        <v>310</v>
      </c>
      <c r="N175" s="43" t="str">
        <f t="shared" si="7"/>
        <v>ratioLine|transparency</v>
      </c>
      <c r="O175" s="31" t="s">
        <v>302</v>
      </c>
      <c r="P175" s="31" t="s">
        <v>302</v>
      </c>
      <c r="Q175" s="31" t="s">
        <v>302</v>
      </c>
      <c r="R175" s="31" t="s">
        <v>302</v>
      </c>
      <c r="S175" s="31" t="s">
        <v>302</v>
      </c>
      <c r="T175" s="31" t="s">
        <v>302</v>
      </c>
      <c r="U175" s="31" t="s">
        <v>302</v>
      </c>
      <c r="V175" s="31" t="s">
        <v>302</v>
      </c>
      <c r="W175" s="31" t="s">
        <v>302</v>
      </c>
      <c r="X175" s="31" t="s">
        <v>302</v>
      </c>
      <c r="Y175" s="31" t="s">
        <v>302</v>
      </c>
      <c r="Z175" s="31" t="s">
        <v>302</v>
      </c>
      <c r="AA175" s="31" t="s">
        <v>302</v>
      </c>
      <c r="AB175" s="31" t="s">
        <v>302</v>
      </c>
      <c r="AC175" s="31"/>
      <c r="AD175" s="31"/>
      <c r="AE175" s="31"/>
      <c r="AF175" s="31"/>
      <c r="AG175" s="31"/>
      <c r="AH175" s="31"/>
      <c r="AI175" s="31"/>
      <c r="AJ175" s="31"/>
      <c r="AK175" s="31"/>
      <c r="AL175" s="31"/>
      <c r="AM175" s="31"/>
      <c r="AN175" s="31"/>
      <c r="AO175" s="31"/>
      <c r="AP175" s="31"/>
      <c r="AQ175" s="31"/>
      <c r="AR175" s="31"/>
      <c r="AS175" s="31"/>
      <c r="AT175" s="31"/>
      <c r="AU175" s="31"/>
    </row>
    <row r="176" spans="7:47" x14ac:dyDescent="0.25">
      <c r="G176" s="37">
        <f t="shared" si="6"/>
        <v>2</v>
      </c>
      <c r="H176" s="37" t="str">
        <f t="shared" si="8"/>
        <v>K176:K177</v>
      </c>
      <c r="I176" s="33" t="s">
        <v>163</v>
      </c>
      <c r="J176" s="42" t="s">
        <v>121</v>
      </c>
      <c r="K176" s="33" t="s">
        <v>163</v>
      </c>
      <c r="L176" s="42" t="s">
        <v>357</v>
      </c>
      <c r="M176" s="42" t="s">
        <v>310</v>
      </c>
      <c r="N176" s="43" t="str">
        <f t="shared" si="7"/>
        <v>rotation|angle</v>
      </c>
      <c r="O176" s="31" t="s">
        <v>302</v>
      </c>
      <c r="P176" s="31" t="s">
        <v>302</v>
      </c>
      <c r="Q176" s="31" t="s">
        <v>302</v>
      </c>
      <c r="R176" s="31" t="s">
        <v>302</v>
      </c>
      <c r="S176" s="31" t="s">
        <v>302</v>
      </c>
      <c r="T176" s="31" t="s">
        <v>302</v>
      </c>
      <c r="U176" s="31" t="s">
        <v>302</v>
      </c>
      <c r="V176" s="31" t="s">
        <v>302</v>
      </c>
      <c r="W176" s="31" t="s">
        <v>302</v>
      </c>
      <c r="X176" s="31" t="s">
        <v>302</v>
      </c>
      <c r="Y176" s="31" t="s">
        <v>302</v>
      </c>
      <c r="Z176" s="31" t="s">
        <v>302</v>
      </c>
      <c r="AA176" s="31" t="s">
        <v>302</v>
      </c>
      <c r="AB176" s="31" t="s">
        <v>302</v>
      </c>
      <c r="AC176" s="31"/>
      <c r="AD176" s="31"/>
      <c r="AE176" s="31"/>
      <c r="AF176" s="31"/>
      <c r="AG176" s="31"/>
      <c r="AH176" s="31"/>
      <c r="AI176" s="31"/>
      <c r="AJ176" s="31"/>
      <c r="AK176" s="31"/>
      <c r="AL176" s="31"/>
      <c r="AM176" s="31"/>
      <c r="AN176" s="31"/>
      <c r="AO176" s="31"/>
      <c r="AP176" s="31"/>
      <c r="AQ176" s="31"/>
      <c r="AR176" s="31"/>
      <c r="AS176" s="31"/>
      <c r="AT176" s="31"/>
      <c r="AU176" s="31"/>
    </row>
    <row r="177" spans="7:47" x14ac:dyDescent="0.25">
      <c r="G177" s="37">
        <f t="shared" si="6"/>
        <v>2</v>
      </c>
      <c r="H177" s="37" t="str">
        <f t="shared" si="8"/>
        <v>K176:K177</v>
      </c>
      <c r="I177" s="33" t="s">
        <v>163</v>
      </c>
      <c r="J177" s="42" t="s">
        <v>121</v>
      </c>
      <c r="K177" s="33" t="s">
        <v>32</v>
      </c>
      <c r="L177" s="42" t="s">
        <v>208</v>
      </c>
      <c r="M177" s="42" t="s">
        <v>310</v>
      </c>
      <c r="N177" s="43" t="str">
        <f t="shared" si="7"/>
        <v>rotation|transparency</v>
      </c>
      <c r="O177" s="31" t="s">
        <v>302</v>
      </c>
      <c r="P177" s="31" t="s">
        <v>302</v>
      </c>
      <c r="Q177" s="31" t="s">
        <v>302</v>
      </c>
      <c r="R177" s="31" t="s">
        <v>302</v>
      </c>
      <c r="S177" s="31" t="s">
        <v>302</v>
      </c>
      <c r="T177" s="31" t="s">
        <v>302</v>
      </c>
      <c r="U177" s="31" t="s">
        <v>302</v>
      </c>
      <c r="V177" s="31" t="s">
        <v>302</v>
      </c>
      <c r="W177" s="31" t="s">
        <v>302</v>
      </c>
      <c r="X177" s="31" t="s">
        <v>302</v>
      </c>
      <c r="Y177" s="31" t="s">
        <v>302</v>
      </c>
      <c r="Z177" s="31" t="s">
        <v>302</v>
      </c>
      <c r="AA177" s="31" t="s">
        <v>302</v>
      </c>
      <c r="AB177" s="31" t="s">
        <v>302</v>
      </c>
      <c r="AC177" s="31"/>
      <c r="AD177" s="31"/>
      <c r="AE177" s="31"/>
      <c r="AF177" s="31"/>
      <c r="AG177" s="31"/>
      <c r="AH177" s="31"/>
      <c r="AI177" s="31"/>
      <c r="AJ177" s="31"/>
      <c r="AK177" s="31"/>
      <c r="AL177" s="31"/>
      <c r="AM177" s="31"/>
      <c r="AN177" s="31"/>
      <c r="AO177" s="31"/>
      <c r="AP177" s="31"/>
      <c r="AQ177" s="31"/>
      <c r="AR177" s="31"/>
      <c r="AS177" s="31"/>
      <c r="AT177" s="31"/>
      <c r="AU177" s="31"/>
    </row>
    <row r="178" spans="7:47" x14ac:dyDescent="0.25">
      <c r="G178" s="37">
        <f t="shared" si="6"/>
        <v>10</v>
      </c>
      <c r="H178" s="37" t="str">
        <f t="shared" si="8"/>
        <v>K178:K187</v>
      </c>
      <c r="I178" s="33" t="s">
        <v>164</v>
      </c>
      <c r="J178" s="42" t="s">
        <v>122</v>
      </c>
      <c r="K178" s="33" t="s">
        <v>34</v>
      </c>
      <c r="L178" s="42" t="s">
        <v>389</v>
      </c>
      <c r="M178" s="42" t="s">
        <v>104</v>
      </c>
      <c r="N178" s="43" t="str">
        <f t="shared" si="7"/>
        <v>rowHeaders|backColor</v>
      </c>
      <c r="O178" s="31" t="s">
        <v>302</v>
      </c>
      <c r="P178" s="31" t="s">
        <v>302</v>
      </c>
      <c r="Q178" s="31" t="s">
        <v>302</v>
      </c>
      <c r="R178" s="31" t="s">
        <v>302</v>
      </c>
      <c r="S178" s="31" t="s">
        <v>302</v>
      </c>
      <c r="T178" s="31" t="s">
        <v>302</v>
      </c>
      <c r="U178" s="31" t="s">
        <v>302</v>
      </c>
      <c r="V178" s="31" t="s">
        <v>302</v>
      </c>
      <c r="W178" s="31" t="s">
        <v>302</v>
      </c>
      <c r="X178" s="31" t="s">
        <v>302</v>
      </c>
      <c r="Y178" s="31" t="s">
        <v>302</v>
      </c>
      <c r="Z178" s="31" t="s">
        <v>302</v>
      </c>
      <c r="AA178" s="31" t="s">
        <v>302</v>
      </c>
      <c r="AB178" s="31" t="s">
        <v>302</v>
      </c>
      <c r="AC178" s="31"/>
      <c r="AD178" s="31"/>
      <c r="AE178" s="31"/>
      <c r="AF178" s="31"/>
      <c r="AG178" s="31"/>
      <c r="AH178" s="31"/>
      <c r="AI178" s="31"/>
      <c r="AJ178" s="31"/>
      <c r="AK178" s="31"/>
      <c r="AL178" s="31"/>
      <c r="AM178" s="31"/>
      <c r="AN178" s="31"/>
      <c r="AO178" s="31"/>
      <c r="AP178" s="31"/>
      <c r="AQ178" s="31"/>
      <c r="AR178" s="31"/>
      <c r="AS178" s="31"/>
      <c r="AT178" s="31"/>
      <c r="AU178" s="31"/>
    </row>
    <row r="179" spans="7:47" x14ac:dyDescent="0.25">
      <c r="G179" s="37">
        <f t="shared" si="6"/>
        <v>10</v>
      </c>
      <c r="H179" s="37" t="str">
        <f t="shared" si="8"/>
        <v>K178:K187</v>
      </c>
      <c r="I179" s="33" t="s">
        <v>164</v>
      </c>
      <c r="J179" s="42" t="s">
        <v>122</v>
      </c>
      <c r="K179" s="33" t="s">
        <v>491</v>
      </c>
      <c r="L179" s="42" t="s">
        <v>404</v>
      </c>
      <c r="M179" s="42" t="s">
        <v>304</v>
      </c>
      <c r="N179" s="43" t="str">
        <f t="shared" si="7"/>
        <v>rowHeaders|styleSubtotals</v>
      </c>
      <c r="O179" s="31" t="s">
        <v>302</v>
      </c>
      <c r="P179" s="31" t="s">
        <v>302</v>
      </c>
      <c r="Q179" s="31" t="s">
        <v>302</v>
      </c>
      <c r="R179" s="31" t="s">
        <v>302</v>
      </c>
      <c r="S179" s="31" t="s">
        <v>302</v>
      </c>
      <c r="T179" s="31" t="s">
        <v>302</v>
      </c>
      <c r="U179" s="31" t="s">
        <v>302</v>
      </c>
      <c r="V179" s="31" t="s">
        <v>302</v>
      </c>
      <c r="W179" s="31" t="s">
        <v>302</v>
      </c>
      <c r="X179" s="31" t="s">
        <v>302</v>
      </c>
      <c r="Y179" s="31" t="s">
        <v>302</v>
      </c>
      <c r="Z179" s="31" t="s">
        <v>302</v>
      </c>
      <c r="AA179" s="31" t="s">
        <v>302</v>
      </c>
      <c r="AB179" s="31" t="s">
        <v>302</v>
      </c>
      <c r="AC179" s="31"/>
      <c r="AD179" s="31"/>
      <c r="AE179" s="31"/>
      <c r="AF179" s="31"/>
      <c r="AG179" s="31"/>
      <c r="AH179" s="31"/>
      <c r="AI179" s="31"/>
      <c r="AJ179" s="31"/>
      <c r="AK179" s="31"/>
      <c r="AL179" s="31"/>
      <c r="AM179" s="31"/>
      <c r="AN179" s="31"/>
      <c r="AO179" s="31"/>
      <c r="AP179" s="31"/>
      <c r="AQ179" s="31"/>
      <c r="AR179" s="31"/>
      <c r="AS179" s="31"/>
      <c r="AT179" s="31"/>
      <c r="AU179" s="31"/>
    </row>
    <row r="180" spans="7:47" x14ac:dyDescent="0.25">
      <c r="G180" s="37">
        <f t="shared" si="6"/>
        <v>10</v>
      </c>
      <c r="H180" s="37" t="str">
        <f t="shared" si="8"/>
        <v>K178:K187</v>
      </c>
      <c r="I180" s="33" t="s">
        <v>164</v>
      </c>
      <c r="J180" s="42" t="s">
        <v>122</v>
      </c>
      <c r="K180" s="33" t="s">
        <v>33</v>
      </c>
      <c r="L180" s="42" t="s">
        <v>211</v>
      </c>
      <c r="M180" s="42" t="s">
        <v>104</v>
      </c>
      <c r="N180" s="43" t="str">
        <f t="shared" si="7"/>
        <v>rowHeaders|fontColor</v>
      </c>
      <c r="O180" s="31" t="s">
        <v>302</v>
      </c>
      <c r="P180" s="31" t="s">
        <v>302</v>
      </c>
      <c r="Q180" s="31" t="s">
        <v>302</v>
      </c>
      <c r="R180" s="31" t="s">
        <v>302</v>
      </c>
      <c r="S180" s="31" t="s">
        <v>302</v>
      </c>
      <c r="T180" s="31" t="s">
        <v>302</v>
      </c>
      <c r="U180" s="31" t="s">
        <v>302</v>
      </c>
      <c r="V180" s="31" t="s">
        <v>302</v>
      </c>
      <c r="W180" s="31" t="s">
        <v>302</v>
      </c>
      <c r="X180" s="31" t="s">
        <v>302</v>
      </c>
      <c r="Y180" s="31" t="s">
        <v>302</v>
      </c>
      <c r="Z180" s="31" t="s">
        <v>302</v>
      </c>
      <c r="AA180" s="31" t="s">
        <v>302</v>
      </c>
      <c r="AB180" s="31" t="s">
        <v>302</v>
      </c>
      <c r="AC180" s="31"/>
      <c r="AD180" s="31"/>
      <c r="AE180" s="31"/>
      <c r="AF180" s="31"/>
      <c r="AG180" s="31"/>
      <c r="AH180" s="31"/>
      <c r="AI180" s="31"/>
      <c r="AJ180" s="31"/>
      <c r="AK180" s="31"/>
      <c r="AL180" s="31"/>
      <c r="AM180" s="31"/>
      <c r="AN180" s="31"/>
      <c r="AO180" s="31"/>
      <c r="AP180" s="31"/>
      <c r="AQ180" s="31"/>
      <c r="AR180" s="31"/>
      <c r="AS180" s="31"/>
      <c r="AT180" s="31"/>
      <c r="AU180" s="31"/>
    </row>
    <row r="181" spans="7:47" x14ac:dyDescent="0.25">
      <c r="G181" s="37">
        <f t="shared" si="6"/>
        <v>10</v>
      </c>
      <c r="H181" s="37" t="str">
        <f t="shared" si="8"/>
        <v>K178:K187</v>
      </c>
      <c r="I181" s="33" t="s">
        <v>164</v>
      </c>
      <c r="J181" s="42" t="s">
        <v>122</v>
      </c>
      <c r="K181" s="33" t="s">
        <v>17</v>
      </c>
      <c r="L181" s="42" t="s">
        <v>5</v>
      </c>
      <c r="M181" s="42" t="s">
        <v>307</v>
      </c>
      <c r="N181" s="43" t="str">
        <f t="shared" si="7"/>
        <v>rowHeaders|fontFamily</v>
      </c>
      <c r="O181" s="31" t="s">
        <v>302</v>
      </c>
      <c r="P181" s="31" t="s">
        <v>302</v>
      </c>
      <c r="Q181" s="31" t="s">
        <v>302</v>
      </c>
      <c r="R181" s="31" t="s">
        <v>302</v>
      </c>
      <c r="S181" s="31" t="s">
        <v>302</v>
      </c>
      <c r="T181" s="31" t="s">
        <v>302</v>
      </c>
      <c r="U181" s="31" t="s">
        <v>302</v>
      </c>
      <c r="V181" s="31" t="s">
        <v>302</v>
      </c>
      <c r="W181" s="31" t="s">
        <v>302</v>
      </c>
      <c r="X181" s="31" t="s">
        <v>302</v>
      </c>
      <c r="Y181" s="31" t="s">
        <v>302</v>
      </c>
      <c r="Z181" s="31" t="s">
        <v>302</v>
      </c>
      <c r="AA181" s="31" t="s">
        <v>302</v>
      </c>
      <c r="AB181" s="31" t="s">
        <v>302</v>
      </c>
      <c r="AC181" s="31"/>
      <c r="AD181" s="31"/>
      <c r="AE181" s="31"/>
      <c r="AF181" s="31"/>
      <c r="AG181" s="31"/>
      <c r="AH181" s="31"/>
      <c r="AI181" s="31"/>
      <c r="AJ181" s="31"/>
      <c r="AK181" s="31"/>
      <c r="AL181" s="31"/>
      <c r="AM181" s="31"/>
      <c r="AN181" s="31"/>
      <c r="AO181" s="31"/>
      <c r="AP181" s="31"/>
      <c r="AQ181" s="31"/>
      <c r="AR181" s="31"/>
      <c r="AS181" s="31"/>
      <c r="AT181" s="31"/>
      <c r="AU181" s="31"/>
    </row>
    <row r="182" spans="7:47" x14ac:dyDescent="0.25">
      <c r="G182" s="37">
        <f t="shared" si="6"/>
        <v>10</v>
      </c>
      <c r="H182" s="37" t="str">
        <f t="shared" si="8"/>
        <v>K178:K187</v>
      </c>
      <c r="I182" s="33" t="s">
        <v>164</v>
      </c>
      <c r="J182" s="42" t="s">
        <v>122</v>
      </c>
      <c r="K182" s="33" t="s">
        <v>358</v>
      </c>
      <c r="L182" s="42" t="s">
        <v>236</v>
      </c>
      <c r="M182" s="42" t="s">
        <v>305</v>
      </c>
      <c r="N182" s="43" t="str">
        <f t="shared" si="7"/>
        <v>rowHeaders|outline</v>
      </c>
      <c r="O182" s="31" t="s">
        <v>51</v>
      </c>
      <c r="P182" s="31" t="s">
        <v>283</v>
      </c>
      <c r="Q182" s="31" t="s">
        <v>284</v>
      </c>
      <c r="R182" s="31" t="s">
        <v>285</v>
      </c>
      <c r="S182" s="31" t="s">
        <v>286</v>
      </c>
      <c r="T182" s="31" t="s">
        <v>287</v>
      </c>
      <c r="U182" s="31" t="s">
        <v>288</v>
      </c>
      <c r="V182" s="31" t="s">
        <v>238</v>
      </c>
      <c r="W182" s="31"/>
      <c r="X182" s="31"/>
      <c r="Y182" s="31"/>
      <c r="Z182" s="31"/>
      <c r="AA182" s="31"/>
      <c r="AB182" s="31"/>
      <c r="AC182" s="31"/>
      <c r="AD182" s="31"/>
      <c r="AE182" s="31"/>
      <c r="AF182" s="31"/>
      <c r="AG182" s="31"/>
      <c r="AH182" s="31"/>
      <c r="AI182" s="31"/>
      <c r="AJ182" s="31"/>
      <c r="AK182" s="31"/>
      <c r="AL182" s="31"/>
      <c r="AM182" s="31"/>
      <c r="AN182" s="31"/>
      <c r="AO182" s="31"/>
      <c r="AP182" s="31"/>
      <c r="AQ182" s="31"/>
      <c r="AR182" s="31"/>
      <c r="AS182" s="31"/>
      <c r="AT182" s="31"/>
      <c r="AU182" s="31"/>
    </row>
    <row r="183" spans="7:47" x14ac:dyDescent="0.25">
      <c r="G183" s="37">
        <f t="shared" si="6"/>
        <v>10</v>
      </c>
      <c r="H183" s="37" t="str">
        <f t="shared" si="8"/>
        <v>K178:K187</v>
      </c>
      <c r="I183" s="33" t="s">
        <v>164</v>
      </c>
      <c r="J183" s="42" t="s">
        <v>122</v>
      </c>
      <c r="K183" s="33" t="s">
        <v>492</v>
      </c>
      <c r="L183" s="42" t="s">
        <v>405</v>
      </c>
      <c r="M183" s="42" t="s">
        <v>304</v>
      </c>
      <c r="N183" s="43" t="str">
        <f t="shared" si="7"/>
        <v>rowHeaders|stepped</v>
      </c>
      <c r="O183" s="31" t="s">
        <v>302</v>
      </c>
      <c r="P183" s="31" t="s">
        <v>302</v>
      </c>
      <c r="Q183" s="31" t="s">
        <v>302</v>
      </c>
      <c r="R183" s="31" t="s">
        <v>302</v>
      </c>
      <c r="S183" s="31" t="s">
        <v>302</v>
      </c>
      <c r="T183" s="31" t="s">
        <v>302</v>
      </c>
      <c r="U183" s="31" t="s">
        <v>302</v>
      </c>
      <c r="V183" s="31" t="s">
        <v>302</v>
      </c>
      <c r="W183" s="31" t="s">
        <v>302</v>
      </c>
      <c r="X183" s="31" t="s">
        <v>302</v>
      </c>
      <c r="Y183" s="31" t="s">
        <v>302</v>
      </c>
      <c r="Z183" s="31" t="s">
        <v>302</v>
      </c>
      <c r="AA183" s="31" t="s">
        <v>302</v>
      </c>
      <c r="AB183" s="31" t="s">
        <v>302</v>
      </c>
      <c r="AC183" s="31"/>
      <c r="AD183" s="31"/>
      <c r="AE183" s="31"/>
      <c r="AF183" s="31"/>
      <c r="AG183" s="31"/>
      <c r="AH183" s="31"/>
      <c r="AI183" s="31"/>
      <c r="AJ183" s="31"/>
      <c r="AK183" s="31"/>
      <c r="AL183" s="31"/>
      <c r="AM183" s="31"/>
      <c r="AN183" s="31"/>
      <c r="AO183" s="31"/>
      <c r="AP183" s="31"/>
      <c r="AQ183" s="31"/>
      <c r="AR183" s="31"/>
      <c r="AS183" s="31"/>
      <c r="AT183" s="31"/>
      <c r="AU183" s="31"/>
    </row>
    <row r="184" spans="7:47" x14ac:dyDescent="0.25">
      <c r="G184" s="37">
        <f t="shared" si="6"/>
        <v>10</v>
      </c>
      <c r="H184" s="37" t="str">
        <f t="shared" si="8"/>
        <v>K178:K187</v>
      </c>
      <c r="I184" s="33" t="s">
        <v>164</v>
      </c>
      <c r="J184" s="42" t="s">
        <v>122</v>
      </c>
      <c r="K184" s="33" t="s">
        <v>493</v>
      </c>
      <c r="L184" s="42" t="s">
        <v>406</v>
      </c>
      <c r="M184" s="42" t="s">
        <v>310</v>
      </c>
      <c r="N184" s="43" t="str">
        <f t="shared" si="7"/>
        <v>rowHeaders|steppedLayoutIndentation</v>
      </c>
      <c r="O184" s="31" t="s">
        <v>302</v>
      </c>
      <c r="P184" s="31" t="s">
        <v>302</v>
      </c>
      <c r="Q184" s="31" t="s">
        <v>302</v>
      </c>
      <c r="R184" s="31" t="s">
        <v>302</v>
      </c>
      <c r="S184" s="31" t="s">
        <v>302</v>
      </c>
      <c r="T184" s="31" t="s">
        <v>302</v>
      </c>
      <c r="U184" s="31" t="s">
        <v>302</v>
      </c>
      <c r="V184" s="31" t="s">
        <v>302</v>
      </c>
      <c r="W184" s="31" t="s">
        <v>302</v>
      </c>
      <c r="X184" s="31" t="s">
        <v>302</v>
      </c>
      <c r="Y184" s="31" t="s">
        <v>302</v>
      </c>
      <c r="Z184" s="31" t="s">
        <v>302</v>
      </c>
      <c r="AA184" s="31" t="s">
        <v>302</v>
      </c>
      <c r="AB184" s="31" t="s">
        <v>302</v>
      </c>
      <c r="AC184" s="31"/>
      <c r="AD184" s="31"/>
      <c r="AE184" s="31"/>
      <c r="AF184" s="31"/>
      <c r="AG184" s="31"/>
      <c r="AH184" s="31"/>
      <c r="AI184" s="31"/>
      <c r="AJ184" s="31"/>
      <c r="AK184" s="31"/>
      <c r="AL184" s="31"/>
      <c r="AM184" s="31"/>
      <c r="AN184" s="31"/>
      <c r="AO184" s="31"/>
      <c r="AP184" s="31"/>
      <c r="AQ184" s="31"/>
      <c r="AR184" s="31"/>
      <c r="AS184" s="31"/>
      <c r="AT184" s="31"/>
      <c r="AU184" s="31"/>
    </row>
    <row r="185" spans="7:47" x14ac:dyDescent="0.25">
      <c r="G185" s="37">
        <f t="shared" si="6"/>
        <v>10</v>
      </c>
      <c r="H185" s="37" t="str">
        <f t="shared" si="8"/>
        <v>K178:K187</v>
      </c>
      <c r="I185" s="33" t="s">
        <v>164</v>
      </c>
      <c r="J185" s="42" t="s">
        <v>122</v>
      </c>
      <c r="K185" s="33" t="s">
        <v>16</v>
      </c>
      <c r="L185" s="42" t="s">
        <v>4</v>
      </c>
      <c r="M185" s="42" t="s">
        <v>307</v>
      </c>
      <c r="N185" s="43" t="str">
        <f t="shared" si="7"/>
        <v>rowHeaders|fontSize</v>
      </c>
      <c r="O185" s="31" t="s">
        <v>302</v>
      </c>
      <c r="P185" s="31" t="s">
        <v>302</v>
      </c>
      <c r="Q185" s="31" t="s">
        <v>302</v>
      </c>
      <c r="R185" s="31" t="s">
        <v>302</v>
      </c>
      <c r="S185" s="31" t="s">
        <v>302</v>
      </c>
      <c r="T185" s="31" t="s">
        <v>302</v>
      </c>
      <c r="U185" s="31" t="s">
        <v>302</v>
      </c>
      <c r="V185" s="31" t="s">
        <v>302</v>
      </c>
      <c r="W185" s="31" t="s">
        <v>302</v>
      </c>
      <c r="X185" s="31" t="s">
        <v>302</v>
      </c>
      <c r="Y185" s="31" t="s">
        <v>302</v>
      </c>
      <c r="Z185" s="31" t="s">
        <v>302</v>
      </c>
      <c r="AA185" s="31" t="s">
        <v>302</v>
      </c>
      <c r="AB185" s="31" t="s">
        <v>302</v>
      </c>
      <c r="AC185" s="31"/>
      <c r="AD185" s="31"/>
      <c r="AE185" s="31"/>
      <c r="AF185" s="31"/>
      <c r="AG185" s="31"/>
      <c r="AH185" s="31"/>
      <c r="AI185" s="31"/>
      <c r="AJ185" s="31"/>
      <c r="AK185" s="31"/>
      <c r="AL185" s="31"/>
      <c r="AM185" s="31"/>
      <c r="AN185" s="31"/>
      <c r="AO185" s="31"/>
      <c r="AP185" s="31"/>
      <c r="AQ185" s="31"/>
      <c r="AR185" s="31"/>
      <c r="AS185" s="31"/>
      <c r="AT185" s="31"/>
      <c r="AU185" s="31"/>
    </row>
    <row r="186" spans="7:47" x14ac:dyDescent="0.25">
      <c r="G186" s="37">
        <f t="shared" si="6"/>
        <v>10</v>
      </c>
      <c r="H186" s="37" t="str">
        <f t="shared" si="8"/>
        <v>K178:K187</v>
      </c>
      <c r="I186" s="33" t="s">
        <v>164</v>
      </c>
      <c r="J186" s="42" t="s">
        <v>122</v>
      </c>
      <c r="K186" s="33" t="s">
        <v>481</v>
      </c>
      <c r="L186" s="42" t="s">
        <v>391</v>
      </c>
      <c r="M186" s="42" t="s">
        <v>304</v>
      </c>
      <c r="N186" s="43" t="str">
        <f t="shared" si="7"/>
        <v>rowHeaders|urlIcon</v>
      </c>
      <c r="O186" s="31" t="s">
        <v>302</v>
      </c>
      <c r="P186" s="31" t="s">
        <v>302</v>
      </c>
      <c r="Q186" s="31" t="s">
        <v>302</v>
      </c>
      <c r="R186" s="31" t="s">
        <v>302</v>
      </c>
      <c r="S186" s="31" t="s">
        <v>302</v>
      </c>
      <c r="T186" s="31" t="s">
        <v>302</v>
      </c>
      <c r="U186" s="31" t="s">
        <v>302</v>
      </c>
      <c r="V186" s="31" t="s">
        <v>302</v>
      </c>
      <c r="W186" s="31" t="s">
        <v>302</v>
      </c>
      <c r="X186" s="31" t="s">
        <v>302</v>
      </c>
      <c r="Y186" s="31" t="s">
        <v>302</v>
      </c>
      <c r="Z186" s="31" t="s">
        <v>302</v>
      </c>
      <c r="AA186" s="31" t="s">
        <v>302</v>
      </c>
      <c r="AB186" s="31" t="s">
        <v>302</v>
      </c>
      <c r="AC186" s="31"/>
      <c r="AD186" s="31"/>
      <c r="AE186" s="31"/>
      <c r="AF186" s="31"/>
      <c r="AG186" s="31"/>
      <c r="AH186" s="31"/>
      <c r="AI186" s="31"/>
      <c r="AJ186" s="31"/>
      <c r="AK186" s="31"/>
      <c r="AL186" s="31"/>
      <c r="AM186" s="31"/>
      <c r="AN186" s="31"/>
      <c r="AO186" s="31"/>
      <c r="AP186" s="31"/>
      <c r="AQ186" s="31"/>
      <c r="AR186" s="31"/>
      <c r="AS186" s="31"/>
      <c r="AT186" s="31"/>
      <c r="AU186" s="31"/>
    </row>
    <row r="187" spans="7:47" x14ac:dyDescent="0.25">
      <c r="G187" s="37">
        <f t="shared" si="6"/>
        <v>10</v>
      </c>
      <c r="H187" s="37" t="str">
        <f t="shared" si="8"/>
        <v>K178:K187</v>
      </c>
      <c r="I187" s="33" t="s">
        <v>164</v>
      </c>
      <c r="J187" s="42" t="s">
        <v>122</v>
      </c>
      <c r="K187" s="33" t="s">
        <v>176</v>
      </c>
      <c r="L187" s="42" t="s">
        <v>135</v>
      </c>
      <c r="M187" s="42" t="s">
        <v>304</v>
      </c>
      <c r="N187" s="43" t="str">
        <f t="shared" si="7"/>
        <v>rowHeaders|wordWrap</v>
      </c>
      <c r="O187" s="31" t="s">
        <v>302</v>
      </c>
      <c r="P187" s="31" t="s">
        <v>302</v>
      </c>
      <c r="Q187" s="31" t="s">
        <v>302</v>
      </c>
      <c r="R187" s="31" t="s">
        <v>302</v>
      </c>
      <c r="S187" s="31" t="s">
        <v>302</v>
      </c>
      <c r="T187" s="31" t="s">
        <v>302</v>
      </c>
      <c r="U187" s="31" t="s">
        <v>302</v>
      </c>
      <c r="V187" s="31" t="s">
        <v>302</v>
      </c>
      <c r="W187" s="31" t="s">
        <v>302</v>
      </c>
      <c r="X187" s="31" t="s">
        <v>302</v>
      </c>
      <c r="Y187" s="31" t="s">
        <v>302</v>
      </c>
      <c r="Z187" s="31" t="s">
        <v>302</v>
      </c>
      <c r="AA187" s="31" t="s">
        <v>302</v>
      </c>
      <c r="AB187" s="31" t="s">
        <v>302</v>
      </c>
      <c r="AC187" s="31"/>
      <c r="AD187" s="31"/>
      <c r="AE187" s="31"/>
      <c r="AF187" s="31"/>
      <c r="AG187" s="31"/>
      <c r="AH187" s="31"/>
      <c r="AI187" s="31"/>
      <c r="AJ187" s="31"/>
      <c r="AK187" s="31"/>
      <c r="AL187" s="31"/>
      <c r="AM187" s="31"/>
      <c r="AN187" s="31"/>
      <c r="AO187" s="31"/>
      <c r="AP187" s="31"/>
      <c r="AQ187" s="31"/>
      <c r="AR187" s="31"/>
      <c r="AS187" s="31"/>
      <c r="AT187" s="31"/>
      <c r="AU187" s="31"/>
    </row>
    <row r="188" spans="7:47" x14ac:dyDescent="0.25">
      <c r="G188" s="37">
        <f t="shared" si="6"/>
        <v>3</v>
      </c>
      <c r="H188" s="37" t="str">
        <f t="shared" si="8"/>
        <v>K188:K190</v>
      </c>
      <c r="I188" s="33" t="s">
        <v>165</v>
      </c>
      <c r="J188" s="42" t="s">
        <v>123</v>
      </c>
      <c r="K188" s="33" t="s">
        <v>487</v>
      </c>
      <c r="L188" s="42" t="s">
        <v>398</v>
      </c>
      <c r="M188" s="42" t="s">
        <v>304</v>
      </c>
      <c r="N188" s="43" t="str">
        <f t="shared" si="7"/>
        <v>selection|applyToHeaders</v>
      </c>
      <c r="O188" s="31" t="s">
        <v>302</v>
      </c>
      <c r="P188" s="31" t="s">
        <v>302</v>
      </c>
      <c r="Q188" s="31" t="s">
        <v>302</v>
      </c>
      <c r="R188" s="31" t="s">
        <v>302</v>
      </c>
      <c r="S188" s="31" t="s">
        <v>302</v>
      </c>
      <c r="T188" s="31" t="s">
        <v>302</v>
      </c>
      <c r="U188" s="31" t="s">
        <v>302</v>
      </c>
      <c r="V188" s="31" t="s">
        <v>302</v>
      </c>
      <c r="W188" s="31" t="s">
        <v>302</v>
      </c>
      <c r="X188" s="31" t="s">
        <v>302</v>
      </c>
      <c r="Y188" s="31" t="s">
        <v>302</v>
      </c>
      <c r="Z188" s="31" t="s">
        <v>302</v>
      </c>
      <c r="AA188" s="31" t="s">
        <v>302</v>
      </c>
      <c r="AB188" s="31" t="s">
        <v>302</v>
      </c>
      <c r="AC188" s="31"/>
      <c r="AD188" s="31"/>
      <c r="AE188" s="31"/>
      <c r="AF188" s="31"/>
      <c r="AG188" s="31"/>
      <c r="AH188" s="31"/>
      <c r="AI188" s="31"/>
      <c r="AJ188" s="31"/>
      <c r="AK188" s="31"/>
      <c r="AL188" s="31"/>
      <c r="AM188" s="31"/>
      <c r="AN188" s="31"/>
      <c r="AO188" s="31"/>
      <c r="AP188" s="31"/>
      <c r="AQ188" s="31"/>
      <c r="AR188" s="31"/>
      <c r="AS188" s="31"/>
      <c r="AT188" s="31"/>
      <c r="AU188" s="31"/>
    </row>
    <row r="189" spans="7:47" x14ac:dyDescent="0.25">
      <c r="G189" s="37">
        <f t="shared" si="6"/>
        <v>3</v>
      </c>
      <c r="H189" s="37" t="str">
        <f t="shared" si="8"/>
        <v>K188:K190</v>
      </c>
      <c r="I189" s="33" t="s">
        <v>165</v>
      </c>
      <c r="J189" s="42" t="s">
        <v>123</v>
      </c>
      <c r="K189" s="33" t="s">
        <v>496</v>
      </c>
      <c r="L189" s="42" t="s">
        <v>410</v>
      </c>
      <c r="M189" s="42" t="s">
        <v>304</v>
      </c>
      <c r="N189" s="43" t="str">
        <f t="shared" si="7"/>
        <v>selection|selectAllCheckboxEnabled</v>
      </c>
      <c r="O189" s="31" t="s">
        <v>302</v>
      </c>
      <c r="P189" s="31" t="s">
        <v>302</v>
      </c>
      <c r="Q189" s="31" t="s">
        <v>302</v>
      </c>
      <c r="R189" s="31" t="s">
        <v>302</v>
      </c>
      <c r="S189" s="31" t="s">
        <v>302</v>
      </c>
      <c r="T189" s="31" t="s">
        <v>302</v>
      </c>
      <c r="U189" s="31" t="s">
        <v>302</v>
      </c>
      <c r="V189" s="31" t="s">
        <v>302</v>
      </c>
      <c r="W189" s="31" t="s">
        <v>302</v>
      </c>
      <c r="X189" s="31" t="s">
        <v>302</v>
      </c>
      <c r="Y189" s="31" t="s">
        <v>302</v>
      </c>
      <c r="Z189" s="31" t="s">
        <v>302</v>
      </c>
      <c r="AA189" s="31" t="s">
        <v>302</v>
      </c>
      <c r="AB189" s="31" t="s">
        <v>302</v>
      </c>
      <c r="AC189" s="31"/>
      <c r="AD189" s="31"/>
      <c r="AE189" s="31"/>
      <c r="AF189" s="31"/>
      <c r="AG189" s="31"/>
      <c r="AH189" s="31"/>
      <c r="AI189" s="31"/>
      <c r="AJ189" s="31"/>
      <c r="AK189" s="31"/>
      <c r="AL189" s="31"/>
      <c r="AM189" s="31"/>
      <c r="AN189" s="31"/>
      <c r="AO189" s="31"/>
      <c r="AP189" s="31"/>
      <c r="AQ189" s="31"/>
      <c r="AR189" s="31"/>
      <c r="AS189" s="31"/>
      <c r="AT189" s="31"/>
      <c r="AU189" s="31"/>
    </row>
    <row r="190" spans="7:47" x14ac:dyDescent="0.25">
      <c r="G190" s="37">
        <f t="shared" si="6"/>
        <v>3</v>
      </c>
      <c r="H190" s="37" t="str">
        <f t="shared" si="8"/>
        <v>K188:K190</v>
      </c>
      <c r="I190" s="33" t="s">
        <v>165</v>
      </c>
      <c r="J190" s="42" t="s">
        <v>123</v>
      </c>
      <c r="K190" s="33" t="s">
        <v>497</v>
      </c>
      <c r="L190" s="42" t="s">
        <v>411</v>
      </c>
      <c r="M190" s="42" t="s">
        <v>304</v>
      </c>
      <c r="N190" s="43" t="str">
        <f t="shared" si="7"/>
        <v>selection|singleSelect</v>
      </c>
      <c r="O190" s="31" t="s">
        <v>302</v>
      </c>
      <c r="P190" s="31" t="s">
        <v>302</v>
      </c>
      <c r="Q190" s="31" t="s">
        <v>302</v>
      </c>
      <c r="R190" s="31" t="s">
        <v>302</v>
      </c>
      <c r="S190" s="31" t="s">
        <v>302</v>
      </c>
      <c r="T190" s="31" t="s">
        <v>302</v>
      </c>
      <c r="U190" s="31" t="s">
        <v>302</v>
      </c>
      <c r="V190" s="31" t="s">
        <v>302</v>
      </c>
      <c r="W190" s="31" t="s">
        <v>302</v>
      </c>
      <c r="X190" s="31" t="s">
        <v>302</v>
      </c>
      <c r="Y190" s="31" t="s">
        <v>302</v>
      </c>
      <c r="Z190" s="31" t="s">
        <v>302</v>
      </c>
      <c r="AA190" s="31" t="s">
        <v>302</v>
      </c>
      <c r="AB190" s="31" t="s">
        <v>302</v>
      </c>
      <c r="AC190" s="31"/>
      <c r="AD190" s="31"/>
      <c r="AE190" s="31"/>
      <c r="AF190" s="31"/>
      <c r="AG190" s="31"/>
      <c r="AH190" s="31"/>
      <c r="AI190" s="31"/>
      <c r="AJ190" s="31"/>
      <c r="AK190" s="31"/>
      <c r="AL190" s="31"/>
      <c r="AM190" s="31"/>
      <c r="AN190" s="31"/>
      <c r="AO190" s="31"/>
      <c r="AP190" s="31"/>
      <c r="AQ190" s="31"/>
      <c r="AR190" s="31"/>
      <c r="AS190" s="31"/>
      <c r="AT190" s="31"/>
      <c r="AU190" s="31"/>
    </row>
    <row r="191" spans="7:47" x14ac:dyDescent="0.25">
      <c r="G191" s="37">
        <f t="shared" si="6"/>
        <v>5</v>
      </c>
      <c r="H191" s="37" t="str">
        <f t="shared" si="8"/>
        <v>K191:K195</v>
      </c>
      <c r="I191" s="33" t="s">
        <v>166</v>
      </c>
      <c r="J191" s="42" t="s">
        <v>124</v>
      </c>
      <c r="K191" s="33" t="s">
        <v>417</v>
      </c>
      <c r="L191" s="42" t="s">
        <v>416</v>
      </c>
      <c r="M191" s="42" t="s">
        <v>104</v>
      </c>
      <c r="N191" s="43" t="str">
        <f t="shared" si="7"/>
        <v>sentimentColors|decreaseFill</v>
      </c>
      <c r="O191" s="31" t="s">
        <v>302</v>
      </c>
      <c r="P191" s="31" t="s">
        <v>302</v>
      </c>
      <c r="Q191" s="31" t="s">
        <v>302</v>
      </c>
      <c r="R191" s="31" t="s">
        <v>302</v>
      </c>
      <c r="S191" s="31" t="s">
        <v>302</v>
      </c>
      <c r="T191" s="31" t="s">
        <v>302</v>
      </c>
      <c r="U191" s="31" t="s">
        <v>302</v>
      </c>
      <c r="V191" s="31" t="s">
        <v>302</v>
      </c>
      <c r="W191" s="31" t="s">
        <v>302</v>
      </c>
      <c r="X191" s="31" t="s">
        <v>302</v>
      </c>
      <c r="Y191" s="31" t="s">
        <v>302</v>
      </c>
      <c r="Z191" s="31" t="s">
        <v>302</v>
      </c>
      <c r="AA191" s="31" t="s">
        <v>302</v>
      </c>
      <c r="AB191" s="31" t="s">
        <v>302</v>
      </c>
      <c r="AC191" s="31"/>
      <c r="AD191" s="31"/>
      <c r="AE191" s="31"/>
      <c r="AF191" s="31"/>
      <c r="AG191" s="31"/>
      <c r="AH191" s="31"/>
      <c r="AI191" s="31"/>
      <c r="AJ191" s="31"/>
      <c r="AK191" s="31"/>
      <c r="AL191" s="31"/>
      <c r="AM191" s="31"/>
      <c r="AN191" s="31"/>
      <c r="AO191" s="31"/>
      <c r="AP191" s="31"/>
      <c r="AQ191" s="31"/>
      <c r="AR191" s="31"/>
      <c r="AS191" s="31"/>
      <c r="AT191" s="31"/>
      <c r="AU191" s="31"/>
    </row>
    <row r="192" spans="7:47" x14ac:dyDescent="0.25">
      <c r="G192" s="37">
        <f t="shared" si="6"/>
        <v>5</v>
      </c>
      <c r="H192" s="37" t="str">
        <f t="shared" si="8"/>
        <v>K191:K195</v>
      </c>
      <c r="I192" s="33" t="s">
        <v>166</v>
      </c>
      <c r="J192" s="42" t="s">
        <v>124</v>
      </c>
      <c r="K192" s="33" t="s">
        <v>498</v>
      </c>
      <c r="L192" s="42" t="s">
        <v>413</v>
      </c>
      <c r="M192" s="42" t="s">
        <v>304</v>
      </c>
      <c r="N192" s="43" t="str">
        <f t="shared" si="7"/>
        <v>sentimentColors|includeToday</v>
      </c>
      <c r="O192" s="31" t="s">
        <v>302</v>
      </c>
      <c r="P192" s="31" t="s">
        <v>302</v>
      </c>
      <c r="Q192" s="31" t="s">
        <v>302</v>
      </c>
      <c r="R192" s="31" t="s">
        <v>302</v>
      </c>
      <c r="S192" s="31" t="s">
        <v>302</v>
      </c>
      <c r="T192" s="31" t="s">
        <v>302</v>
      </c>
      <c r="U192" s="31" t="s">
        <v>302</v>
      </c>
      <c r="V192" s="31" t="s">
        <v>302</v>
      </c>
      <c r="W192" s="31" t="s">
        <v>302</v>
      </c>
      <c r="X192" s="31" t="s">
        <v>302</v>
      </c>
      <c r="Y192" s="31" t="s">
        <v>302</v>
      </c>
      <c r="Z192" s="31" t="s">
        <v>302</v>
      </c>
      <c r="AA192" s="31" t="s">
        <v>302</v>
      </c>
      <c r="AB192" s="31" t="s">
        <v>302</v>
      </c>
      <c r="AC192" s="31"/>
      <c r="AD192" s="31"/>
      <c r="AE192" s="31"/>
      <c r="AF192" s="31"/>
      <c r="AG192" s="31"/>
      <c r="AH192" s="31"/>
      <c r="AI192" s="31"/>
      <c r="AJ192" s="31"/>
      <c r="AK192" s="31"/>
      <c r="AL192" s="31"/>
      <c r="AM192" s="31"/>
      <c r="AN192" s="31"/>
      <c r="AO192" s="31"/>
      <c r="AP192" s="31"/>
      <c r="AQ192" s="31"/>
      <c r="AR192" s="31"/>
      <c r="AS192" s="31"/>
      <c r="AT192" s="31"/>
      <c r="AU192" s="31"/>
    </row>
    <row r="193" spans="7:47" x14ac:dyDescent="0.25">
      <c r="G193" s="37">
        <f t="shared" si="6"/>
        <v>5</v>
      </c>
      <c r="H193" s="37" t="str">
        <f t="shared" si="8"/>
        <v>K191:K195</v>
      </c>
      <c r="I193" s="33" t="s">
        <v>166</v>
      </c>
      <c r="J193" s="42" t="s">
        <v>124</v>
      </c>
      <c r="K193" s="33" t="s">
        <v>415</v>
      </c>
      <c r="L193" s="42" t="s">
        <v>414</v>
      </c>
      <c r="M193" s="42" t="s">
        <v>104</v>
      </c>
      <c r="N193" s="43" t="str">
        <f t="shared" si="7"/>
        <v>sentimentColors|increaseFill</v>
      </c>
      <c r="O193" s="31" t="s">
        <v>302</v>
      </c>
      <c r="P193" s="31" t="s">
        <v>302</v>
      </c>
      <c r="Q193" s="31" t="s">
        <v>302</v>
      </c>
      <c r="R193" s="31" t="s">
        <v>302</v>
      </c>
      <c r="S193" s="31" t="s">
        <v>302</v>
      </c>
      <c r="T193" s="31" t="s">
        <v>302</v>
      </c>
      <c r="U193" s="31" t="s">
        <v>302</v>
      </c>
      <c r="V193" s="31" t="s">
        <v>302</v>
      </c>
      <c r="W193" s="31" t="s">
        <v>302</v>
      </c>
      <c r="X193" s="31" t="s">
        <v>302</v>
      </c>
      <c r="Y193" s="31" t="s">
        <v>302</v>
      </c>
      <c r="Z193" s="31" t="s">
        <v>302</v>
      </c>
      <c r="AA193" s="31" t="s">
        <v>302</v>
      </c>
      <c r="AB193" s="31" t="s">
        <v>302</v>
      </c>
      <c r="AC193" s="31"/>
      <c r="AD193" s="31"/>
      <c r="AE193" s="31"/>
      <c r="AF193" s="31"/>
      <c r="AG193" s="31"/>
      <c r="AH193" s="31"/>
      <c r="AI193" s="31"/>
      <c r="AJ193" s="31"/>
      <c r="AK193" s="31"/>
      <c r="AL193" s="31"/>
      <c r="AM193" s="31"/>
      <c r="AN193" s="31"/>
      <c r="AO193" s="31"/>
      <c r="AP193" s="31"/>
      <c r="AQ193" s="31"/>
      <c r="AR193" s="31"/>
      <c r="AS193" s="31"/>
      <c r="AT193" s="31"/>
      <c r="AU193" s="31"/>
    </row>
    <row r="194" spans="7:47" x14ac:dyDescent="0.25">
      <c r="G194" s="37">
        <f t="shared" si="6"/>
        <v>5</v>
      </c>
      <c r="H194" s="37" t="str">
        <f t="shared" si="8"/>
        <v>K191:K195</v>
      </c>
      <c r="I194" s="33" t="s">
        <v>166</v>
      </c>
      <c r="J194" s="42" t="s">
        <v>124</v>
      </c>
      <c r="K194" s="33" t="s">
        <v>420</v>
      </c>
      <c r="L194" s="42" t="s">
        <v>419</v>
      </c>
      <c r="M194" s="42" t="s">
        <v>104</v>
      </c>
      <c r="N194" s="43" t="str">
        <f t="shared" si="7"/>
        <v>sentimentColors|otherFill</v>
      </c>
      <c r="O194" s="31" t="s">
        <v>302</v>
      </c>
      <c r="P194" s="31" t="s">
        <v>302</v>
      </c>
      <c r="Q194" s="31" t="s">
        <v>302</v>
      </c>
      <c r="R194" s="31" t="s">
        <v>302</v>
      </c>
      <c r="S194" s="31" t="s">
        <v>302</v>
      </c>
      <c r="T194" s="31" t="s">
        <v>302</v>
      </c>
      <c r="U194" s="31" t="s">
        <v>302</v>
      </c>
      <c r="V194" s="31" t="s">
        <v>302</v>
      </c>
      <c r="W194" s="31" t="s">
        <v>302</v>
      </c>
      <c r="X194" s="31" t="s">
        <v>302</v>
      </c>
      <c r="Y194" s="31" t="s">
        <v>302</v>
      </c>
      <c r="Z194" s="31" t="s">
        <v>302</v>
      </c>
      <c r="AA194" s="31" t="s">
        <v>302</v>
      </c>
      <c r="AB194" s="31" t="s">
        <v>302</v>
      </c>
      <c r="AC194" s="31"/>
      <c r="AD194" s="31"/>
      <c r="AE194" s="31"/>
      <c r="AF194" s="31"/>
      <c r="AG194" s="31"/>
      <c r="AH194" s="31"/>
      <c r="AI194" s="31"/>
      <c r="AJ194" s="31"/>
      <c r="AK194" s="31"/>
      <c r="AL194" s="31"/>
      <c r="AM194" s="31"/>
      <c r="AN194" s="31"/>
      <c r="AO194" s="31"/>
      <c r="AP194" s="31"/>
      <c r="AQ194" s="31"/>
      <c r="AR194" s="31"/>
      <c r="AS194" s="31"/>
      <c r="AT194" s="31"/>
      <c r="AU194" s="31"/>
    </row>
    <row r="195" spans="7:47" x14ac:dyDescent="0.25">
      <c r="G195" s="37">
        <f t="shared" si="6"/>
        <v>5</v>
      </c>
      <c r="H195" s="37" t="str">
        <f t="shared" si="8"/>
        <v>K191:K195</v>
      </c>
      <c r="I195" s="33" t="s">
        <v>166</v>
      </c>
      <c r="J195" s="42" t="s">
        <v>124</v>
      </c>
      <c r="K195" s="33" t="s">
        <v>408</v>
      </c>
      <c r="L195" s="42" t="s">
        <v>418</v>
      </c>
      <c r="M195" s="42" t="s">
        <v>104</v>
      </c>
      <c r="N195" s="43" t="str">
        <f t="shared" si="7"/>
        <v>sentimentColors|totalFill</v>
      </c>
      <c r="O195" s="31" t="s">
        <v>302</v>
      </c>
      <c r="P195" s="31" t="s">
        <v>302</v>
      </c>
      <c r="Q195" s="31" t="s">
        <v>302</v>
      </c>
      <c r="R195" s="31" t="s">
        <v>302</v>
      </c>
      <c r="S195" s="31" t="s">
        <v>302</v>
      </c>
      <c r="T195" s="31" t="s">
        <v>302</v>
      </c>
      <c r="U195" s="31" t="s">
        <v>302</v>
      </c>
      <c r="V195" s="31" t="s">
        <v>302</v>
      </c>
      <c r="W195" s="31" t="s">
        <v>302</v>
      </c>
      <c r="X195" s="31" t="s">
        <v>302</v>
      </c>
      <c r="Y195" s="31" t="s">
        <v>302</v>
      </c>
      <c r="Z195" s="31" t="s">
        <v>302</v>
      </c>
      <c r="AA195" s="31" t="s">
        <v>302</v>
      </c>
      <c r="AB195" s="31" t="s">
        <v>302</v>
      </c>
      <c r="AC195" s="31"/>
      <c r="AD195" s="31"/>
      <c r="AE195" s="31"/>
      <c r="AF195" s="31"/>
      <c r="AG195" s="31"/>
      <c r="AH195" s="31"/>
      <c r="AI195" s="31"/>
      <c r="AJ195" s="31"/>
      <c r="AK195" s="31"/>
      <c r="AL195" s="31"/>
      <c r="AM195" s="31"/>
      <c r="AN195" s="31"/>
      <c r="AO195" s="31"/>
      <c r="AP195" s="31"/>
      <c r="AQ195" s="31"/>
      <c r="AR195" s="31"/>
      <c r="AS195" s="31"/>
      <c r="AT195" s="31"/>
      <c r="AU195" s="31"/>
    </row>
    <row r="196" spans="7:47" x14ac:dyDescent="0.25">
      <c r="G196" s="37">
        <f t="shared" si="6"/>
        <v>2</v>
      </c>
      <c r="H196" s="37" t="str">
        <f t="shared" si="8"/>
        <v>K196:K197</v>
      </c>
      <c r="I196" s="33" t="s">
        <v>167</v>
      </c>
      <c r="J196" s="42" t="s">
        <v>125</v>
      </c>
      <c r="K196" s="33" t="s">
        <v>373</v>
      </c>
      <c r="L196" s="42" t="s">
        <v>241</v>
      </c>
      <c r="M196" s="42" t="s">
        <v>305</v>
      </c>
      <c r="N196" s="43" t="str">
        <f t="shared" si="7"/>
        <v>shape|projectionEnum</v>
      </c>
      <c r="O196" s="31" t="s">
        <v>296</v>
      </c>
      <c r="P196" s="31" t="s">
        <v>297</v>
      </c>
      <c r="Q196" s="31" t="s">
        <v>298</v>
      </c>
      <c r="R196" s="31" t="s">
        <v>299</v>
      </c>
      <c r="S196" s="31"/>
      <c r="T196" s="31"/>
      <c r="U196" s="31"/>
      <c r="V196" s="31"/>
      <c r="W196" s="31"/>
      <c r="X196" s="31"/>
      <c r="Y196" s="31"/>
      <c r="Z196" s="31"/>
      <c r="AA196" s="31"/>
      <c r="AB196" s="31"/>
      <c r="AC196" s="31"/>
      <c r="AD196" s="31"/>
      <c r="AE196" s="31"/>
      <c r="AF196" s="31"/>
      <c r="AG196" s="31"/>
      <c r="AH196" s="31"/>
      <c r="AI196" s="31"/>
      <c r="AJ196" s="31"/>
      <c r="AK196" s="31"/>
      <c r="AL196" s="31"/>
      <c r="AM196" s="31"/>
      <c r="AN196" s="31"/>
      <c r="AO196" s="31"/>
      <c r="AP196" s="31"/>
      <c r="AQ196" s="31"/>
      <c r="AR196" s="31"/>
      <c r="AS196" s="31"/>
      <c r="AT196" s="31"/>
      <c r="AU196" s="31"/>
    </row>
    <row r="197" spans="7:47" x14ac:dyDescent="0.25">
      <c r="G197" s="37">
        <f t="shared" ref="G197:G260" si="9">COUNTIF(I:I,I197)</f>
        <v>2</v>
      </c>
      <c r="H197" s="37" t="str">
        <f t="shared" si="8"/>
        <v>K196:K197</v>
      </c>
      <c r="I197" s="33" t="s">
        <v>167</v>
      </c>
      <c r="J197" s="42" t="s">
        <v>125</v>
      </c>
      <c r="K197" s="33" t="s">
        <v>372</v>
      </c>
      <c r="L197" s="42" t="s">
        <v>240</v>
      </c>
      <c r="M197" s="42" t="s">
        <v>305</v>
      </c>
      <c r="N197" s="43" t="str">
        <f t="shared" ref="N197:N260" si="10">J197&amp;"|"&amp;L197</f>
        <v>shape|mapTheme</v>
      </c>
      <c r="O197" s="31" t="s">
        <v>302</v>
      </c>
      <c r="P197" s="31" t="s">
        <v>302</v>
      </c>
      <c r="Q197" s="31" t="s">
        <v>302</v>
      </c>
      <c r="R197" s="31" t="s">
        <v>302</v>
      </c>
      <c r="S197" s="31" t="s">
        <v>302</v>
      </c>
      <c r="T197" s="31" t="s">
        <v>302</v>
      </c>
      <c r="U197" s="31" t="s">
        <v>302</v>
      </c>
      <c r="V197" s="31" t="s">
        <v>302</v>
      </c>
      <c r="W197" s="31" t="s">
        <v>302</v>
      </c>
      <c r="X197" s="31" t="s">
        <v>302</v>
      </c>
      <c r="Y197" s="31" t="s">
        <v>302</v>
      </c>
      <c r="Z197" s="31" t="s">
        <v>302</v>
      </c>
      <c r="AA197" s="31" t="s">
        <v>302</v>
      </c>
      <c r="AB197" s="31" t="s">
        <v>302</v>
      </c>
      <c r="AC197" s="31"/>
      <c r="AD197" s="31"/>
      <c r="AE197" s="31"/>
      <c r="AF197" s="31"/>
      <c r="AG197" s="31"/>
      <c r="AH197" s="31"/>
      <c r="AI197" s="31"/>
      <c r="AJ197" s="31"/>
      <c r="AK197" s="31"/>
      <c r="AL197" s="31"/>
      <c r="AM197" s="31"/>
      <c r="AN197" s="31"/>
      <c r="AO197" s="31"/>
      <c r="AP197" s="31"/>
      <c r="AQ197" s="31"/>
      <c r="AR197" s="31"/>
      <c r="AS197" s="31"/>
      <c r="AT197" s="31"/>
      <c r="AU197" s="31"/>
    </row>
    <row r="198" spans="7:47" x14ac:dyDescent="0.25">
      <c r="G198" s="37">
        <f t="shared" si="9"/>
        <v>10</v>
      </c>
      <c r="H198" s="37" t="str">
        <f t="shared" ref="H198:H261" si="11">IF(I198=I197,H197,"K"&amp;ROW()&amp;":K"&amp;ROW()+G198-1)</f>
        <v>K198:K207</v>
      </c>
      <c r="I198" s="33" t="s">
        <v>155</v>
      </c>
      <c r="J198" s="42" t="s">
        <v>112</v>
      </c>
      <c r="K198" s="33" t="s">
        <v>443</v>
      </c>
      <c r="L198" s="42" t="s">
        <v>337</v>
      </c>
      <c r="M198" s="42" t="s">
        <v>304</v>
      </c>
      <c r="N198" s="43" t="str">
        <f t="shared" si="10"/>
        <v>lineStyles|showSeries</v>
      </c>
      <c r="O198" s="31" t="s">
        <v>302</v>
      </c>
      <c r="P198" s="31" t="s">
        <v>302</v>
      </c>
      <c r="Q198" s="31" t="s">
        <v>302</v>
      </c>
      <c r="R198" s="31" t="s">
        <v>302</v>
      </c>
      <c r="S198" s="31" t="s">
        <v>302</v>
      </c>
      <c r="T198" s="31" t="s">
        <v>302</v>
      </c>
      <c r="U198" s="31" t="s">
        <v>302</v>
      </c>
      <c r="V198" s="31" t="s">
        <v>302</v>
      </c>
      <c r="W198" s="31" t="s">
        <v>302</v>
      </c>
      <c r="X198" s="31" t="s">
        <v>302</v>
      </c>
      <c r="Y198" s="31" t="s">
        <v>302</v>
      </c>
      <c r="Z198" s="31" t="s">
        <v>302</v>
      </c>
      <c r="AA198" s="31" t="s">
        <v>302</v>
      </c>
      <c r="AB198" s="31" t="s">
        <v>302</v>
      </c>
      <c r="AC198" s="31"/>
      <c r="AD198" s="31"/>
      <c r="AE198" s="31"/>
      <c r="AF198" s="31"/>
      <c r="AG198" s="31"/>
      <c r="AH198" s="31"/>
      <c r="AI198" s="31"/>
      <c r="AJ198" s="31"/>
      <c r="AK198" s="31"/>
      <c r="AL198" s="31"/>
      <c r="AM198" s="31"/>
      <c r="AN198" s="31"/>
      <c r="AO198" s="31"/>
      <c r="AP198" s="31"/>
      <c r="AQ198" s="31"/>
      <c r="AR198" s="31"/>
      <c r="AS198" s="31"/>
      <c r="AT198" s="31"/>
      <c r="AU198" s="31"/>
    </row>
    <row r="199" spans="7:47" x14ac:dyDescent="0.25">
      <c r="G199" s="37">
        <f t="shared" si="9"/>
        <v>10</v>
      </c>
      <c r="H199" s="37" t="str">
        <f t="shared" si="11"/>
        <v>K198:K207</v>
      </c>
      <c r="I199" s="33" t="s">
        <v>155</v>
      </c>
      <c r="J199" s="42" t="s">
        <v>112</v>
      </c>
      <c r="K199" s="33" t="s">
        <v>447</v>
      </c>
      <c r="L199" s="42" t="s">
        <v>228</v>
      </c>
      <c r="M199" s="42" t="s">
        <v>305</v>
      </c>
      <c r="N199" s="43" t="str">
        <f t="shared" si="10"/>
        <v>lineStyles|strokeLineJoin</v>
      </c>
      <c r="O199" s="31" t="s">
        <v>256</v>
      </c>
      <c r="P199" s="31" t="s">
        <v>257</v>
      </c>
      <c r="Q199" s="31" t="s">
        <v>258</v>
      </c>
      <c r="R199" s="31"/>
      <c r="S199" s="31"/>
      <c r="T199" s="31"/>
      <c r="U199" s="31"/>
      <c r="V199" s="31"/>
      <c r="W199" s="31"/>
      <c r="X199" s="31"/>
      <c r="Y199" s="31"/>
      <c r="Z199" s="31"/>
      <c r="AA199" s="31"/>
      <c r="AB199" s="31"/>
      <c r="AC199" s="31"/>
      <c r="AD199" s="31"/>
      <c r="AE199" s="31"/>
      <c r="AF199" s="31"/>
      <c r="AG199" s="31"/>
      <c r="AH199" s="31"/>
      <c r="AI199" s="31"/>
      <c r="AJ199" s="31"/>
      <c r="AK199" s="31"/>
      <c r="AL199" s="31"/>
      <c r="AM199" s="31"/>
      <c r="AN199" s="31"/>
      <c r="AO199" s="31"/>
      <c r="AP199" s="31"/>
      <c r="AQ199" s="31"/>
      <c r="AR199" s="31"/>
      <c r="AS199" s="31"/>
      <c r="AT199" s="31"/>
      <c r="AU199" s="31"/>
    </row>
    <row r="200" spans="7:47" x14ac:dyDescent="0.25">
      <c r="G200" s="37">
        <f t="shared" si="9"/>
        <v>10</v>
      </c>
      <c r="H200" s="37" t="str">
        <f t="shared" si="11"/>
        <v>K198:K207</v>
      </c>
      <c r="I200" s="33" t="s">
        <v>155</v>
      </c>
      <c r="J200" s="42" t="s">
        <v>112</v>
      </c>
      <c r="K200" s="33" t="s">
        <v>446</v>
      </c>
      <c r="L200" s="42" t="s">
        <v>220</v>
      </c>
      <c r="M200" s="42" t="s">
        <v>305</v>
      </c>
      <c r="N200" s="43" t="str">
        <f t="shared" si="10"/>
        <v>lineStyles|labelStyle</v>
      </c>
      <c r="O200" s="31" t="s">
        <v>302</v>
      </c>
      <c r="P200" s="31" t="s">
        <v>302</v>
      </c>
      <c r="Q200" s="31" t="s">
        <v>302</v>
      </c>
      <c r="R200" s="31" t="s">
        <v>302</v>
      </c>
      <c r="S200" s="31" t="s">
        <v>302</v>
      </c>
      <c r="T200" s="31" t="s">
        <v>302</v>
      </c>
      <c r="U200" s="31" t="s">
        <v>302</v>
      </c>
      <c r="V200" s="31" t="s">
        <v>302</v>
      </c>
      <c r="W200" s="31" t="s">
        <v>302</v>
      </c>
      <c r="X200" s="31" t="s">
        <v>302</v>
      </c>
      <c r="Y200" s="31" t="s">
        <v>302</v>
      </c>
      <c r="Z200" s="31" t="s">
        <v>302</v>
      </c>
      <c r="AA200" s="31" t="s">
        <v>302</v>
      </c>
      <c r="AB200" s="31" t="s">
        <v>302</v>
      </c>
      <c r="AC200" s="31"/>
      <c r="AD200" s="31"/>
      <c r="AE200" s="31"/>
      <c r="AF200" s="31"/>
      <c r="AG200" s="31"/>
      <c r="AH200" s="31"/>
      <c r="AI200" s="31"/>
      <c r="AJ200" s="31"/>
      <c r="AK200" s="31"/>
      <c r="AL200" s="31"/>
      <c r="AM200" s="31"/>
      <c r="AN200" s="31"/>
      <c r="AO200" s="31"/>
      <c r="AP200" s="31"/>
      <c r="AQ200" s="31"/>
      <c r="AR200" s="31"/>
      <c r="AS200" s="31"/>
      <c r="AT200" s="31"/>
      <c r="AU200" s="31"/>
    </row>
    <row r="201" spans="7:47" x14ac:dyDescent="0.25">
      <c r="G201" s="37">
        <f t="shared" si="9"/>
        <v>10</v>
      </c>
      <c r="H201" s="37" t="str">
        <f t="shared" si="11"/>
        <v>K198:K207</v>
      </c>
      <c r="I201" s="33" t="s">
        <v>155</v>
      </c>
      <c r="J201" s="42" t="s">
        <v>112</v>
      </c>
      <c r="K201" s="33" t="s">
        <v>30</v>
      </c>
      <c r="L201" s="42" t="s">
        <v>229</v>
      </c>
      <c r="M201" s="42" t="s">
        <v>305</v>
      </c>
      <c r="N201" s="43" t="str">
        <f t="shared" si="10"/>
        <v>lineStyles|lineStyle</v>
      </c>
      <c r="O201" s="31" t="s">
        <v>253</v>
      </c>
      <c r="P201" s="31" t="s">
        <v>254</v>
      </c>
      <c r="Q201" s="31" t="s">
        <v>255</v>
      </c>
      <c r="R201" s="31"/>
      <c r="S201" s="31"/>
      <c r="T201" s="31"/>
      <c r="U201" s="31"/>
      <c r="V201" s="31"/>
      <c r="W201" s="31"/>
      <c r="X201" s="31"/>
      <c r="Y201" s="31"/>
      <c r="Z201" s="31"/>
      <c r="AA201" s="31"/>
      <c r="AB201" s="31"/>
      <c r="AC201" s="31"/>
      <c r="AD201" s="31"/>
      <c r="AE201" s="31"/>
      <c r="AF201" s="31"/>
      <c r="AG201" s="31"/>
      <c r="AH201" s="31"/>
      <c r="AI201" s="31"/>
      <c r="AJ201" s="31"/>
      <c r="AK201" s="31"/>
      <c r="AL201" s="31"/>
      <c r="AM201" s="31"/>
      <c r="AN201" s="31"/>
      <c r="AO201" s="31"/>
      <c r="AP201" s="31"/>
      <c r="AQ201" s="31"/>
      <c r="AR201" s="31"/>
      <c r="AS201" s="31"/>
      <c r="AT201" s="31"/>
      <c r="AU201" s="31"/>
    </row>
    <row r="202" spans="7:47" x14ac:dyDescent="0.25">
      <c r="G202" s="37">
        <f t="shared" si="9"/>
        <v>10</v>
      </c>
      <c r="H202" s="37" t="str">
        <f t="shared" si="11"/>
        <v>K198:K207</v>
      </c>
      <c r="I202" s="33" t="s">
        <v>155</v>
      </c>
      <c r="J202" s="42" t="s">
        <v>112</v>
      </c>
      <c r="K202" s="33" t="s">
        <v>451</v>
      </c>
      <c r="L202" s="42" t="s">
        <v>345</v>
      </c>
      <c r="M202" s="42" t="s">
        <v>104</v>
      </c>
      <c r="N202" s="43" t="str">
        <f t="shared" si="10"/>
        <v>lineStyles|markerColor</v>
      </c>
      <c r="O202" s="31" t="s">
        <v>302</v>
      </c>
      <c r="P202" s="31" t="s">
        <v>302</v>
      </c>
      <c r="Q202" s="31" t="s">
        <v>302</v>
      </c>
      <c r="R202" s="31" t="s">
        <v>302</v>
      </c>
      <c r="S202" s="31" t="s">
        <v>302</v>
      </c>
      <c r="T202" s="31" t="s">
        <v>302</v>
      </c>
      <c r="U202" s="31" t="s">
        <v>302</v>
      </c>
      <c r="V202" s="31" t="s">
        <v>302</v>
      </c>
      <c r="W202" s="31" t="s">
        <v>302</v>
      </c>
      <c r="X202" s="31" t="s">
        <v>302</v>
      </c>
      <c r="Y202" s="31" t="s">
        <v>302</v>
      </c>
      <c r="Z202" s="31" t="s">
        <v>302</v>
      </c>
      <c r="AA202" s="31" t="s">
        <v>302</v>
      </c>
      <c r="AB202" s="31" t="s">
        <v>302</v>
      </c>
      <c r="AC202" s="31"/>
      <c r="AD202" s="31"/>
      <c r="AE202" s="31"/>
      <c r="AF202" s="31"/>
      <c r="AG202" s="31"/>
      <c r="AH202" s="31"/>
      <c r="AI202" s="31"/>
      <c r="AJ202" s="31"/>
      <c r="AK202" s="31"/>
      <c r="AL202" s="31"/>
      <c r="AM202" s="31"/>
      <c r="AN202" s="31"/>
      <c r="AO202" s="31"/>
      <c r="AP202" s="31"/>
      <c r="AQ202" s="31"/>
      <c r="AR202" s="31"/>
      <c r="AS202" s="31"/>
      <c r="AT202" s="31"/>
      <c r="AU202" s="31"/>
    </row>
    <row r="203" spans="7:47" x14ac:dyDescent="0.25">
      <c r="G203" s="37">
        <f t="shared" si="9"/>
        <v>10</v>
      </c>
      <c r="H203" s="37" t="str">
        <f t="shared" si="11"/>
        <v>K198:K207</v>
      </c>
      <c r="I203" s="33" t="s">
        <v>155</v>
      </c>
      <c r="J203" s="42" t="s">
        <v>112</v>
      </c>
      <c r="K203" s="33" t="s">
        <v>449</v>
      </c>
      <c r="L203" s="42" t="s">
        <v>230</v>
      </c>
      <c r="M203" s="42" t="s">
        <v>305</v>
      </c>
      <c r="N203" s="43" t="str">
        <f t="shared" si="10"/>
        <v>lineStyles|markerShape</v>
      </c>
      <c r="O203" s="31" t="s">
        <v>259</v>
      </c>
      <c r="P203" s="31" t="s">
        <v>260</v>
      </c>
      <c r="Q203" s="31" t="s">
        <v>261</v>
      </c>
      <c r="R203" s="31" t="s">
        <v>262</v>
      </c>
      <c r="S203" s="31" t="s">
        <v>263</v>
      </c>
      <c r="T203" s="31" t="s">
        <v>264</v>
      </c>
      <c r="U203" s="31" t="s">
        <v>265</v>
      </c>
      <c r="V203" s="31" t="s">
        <v>266</v>
      </c>
      <c r="W203" s="31"/>
      <c r="X203" s="31"/>
      <c r="Y203" s="31"/>
      <c r="Z203" s="31"/>
      <c r="AA203" s="31"/>
      <c r="AB203" s="31"/>
      <c r="AC203" s="31"/>
      <c r="AD203" s="31"/>
      <c r="AE203" s="31"/>
      <c r="AF203" s="31"/>
      <c r="AG203" s="31"/>
      <c r="AH203" s="31"/>
      <c r="AI203" s="31"/>
      <c r="AJ203" s="31"/>
      <c r="AK203" s="31"/>
      <c r="AL203" s="31"/>
      <c r="AM203" s="31"/>
      <c r="AN203" s="31"/>
      <c r="AO203" s="31"/>
      <c r="AP203" s="31"/>
      <c r="AQ203" s="31"/>
      <c r="AR203" s="31"/>
      <c r="AS203" s="31"/>
      <c r="AT203" s="31"/>
      <c r="AU203" s="31"/>
    </row>
    <row r="204" spans="7:47" x14ac:dyDescent="0.25">
      <c r="G204" s="37">
        <f t="shared" si="9"/>
        <v>10</v>
      </c>
      <c r="H204" s="37" t="str">
        <f t="shared" si="11"/>
        <v>K198:K207</v>
      </c>
      <c r="I204" s="33" t="s">
        <v>155</v>
      </c>
      <c r="J204" s="42" t="s">
        <v>112</v>
      </c>
      <c r="K204" s="33" t="s">
        <v>450</v>
      </c>
      <c r="L204" s="42" t="s">
        <v>344</v>
      </c>
      <c r="M204" s="42" t="s">
        <v>310</v>
      </c>
      <c r="N204" s="43" t="str">
        <f t="shared" si="10"/>
        <v>lineStyles|markerSize</v>
      </c>
      <c r="O204" s="31" t="s">
        <v>302</v>
      </c>
      <c r="P204" s="31" t="s">
        <v>302</v>
      </c>
      <c r="Q204" s="31" t="s">
        <v>302</v>
      </c>
      <c r="R204" s="31" t="s">
        <v>302</v>
      </c>
      <c r="S204" s="31" t="s">
        <v>302</v>
      </c>
      <c r="T204" s="31" t="s">
        <v>302</v>
      </c>
      <c r="U204" s="31" t="s">
        <v>302</v>
      </c>
      <c r="V204" s="31" t="s">
        <v>302</v>
      </c>
      <c r="W204" s="31" t="s">
        <v>302</v>
      </c>
      <c r="X204" s="31" t="s">
        <v>302</v>
      </c>
      <c r="Y204" s="31" t="s">
        <v>302</v>
      </c>
      <c r="Z204" s="31" t="s">
        <v>302</v>
      </c>
      <c r="AA204" s="31" t="s">
        <v>302</v>
      </c>
      <c r="AB204" s="31" t="s">
        <v>302</v>
      </c>
      <c r="AC204" s="31"/>
      <c r="AD204" s="31"/>
      <c r="AE204" s="31"/>
      <c r="AF204" s="31"/>
      <c r="AG204" s="31"/>
      <c r="AH204" s="31"/>
      <c r="AI204" s="31"/>
      <c r="AJ204" s="31"/>
      <c r="AK204" s="31"/>
      <c r="AL204" s="31"/>
      <c r="AM204" s="31"/>
      <c r="AN204" s="31"/>
      <c r="AO204" s="31"/>
      <c r="AP204" s="31"/>
      <c r="AQ204" s="31"/>
      <c r="AR204" s="31"/>
      <c r="AS204" s="31"/>
      <c r="AT204" s="31"/>
      <c r="AU204" s="31"/>
    </row>
    <row r="205" spans="7:47" x14ac:dyDescent="0.25">
      <c r="G205" s="37">
        <f t="shared" si="9"/>
        <v>10</v>
      </c>
      <c r="H205" s="37" t="str">
        <f t="shared" si="11"/>
        <v>K198:K207</v>
      </c>
      <c r="I205" s="33" t="s">
        <v>155</v>
      </c>
      <c r="J205" s="42" t="s">
        <v>112</v>
      </c>
      <c r="K205" s="33" t="s">
        <v>452</v>
      </c>
      <c r="L205" s="42" t="s">
        <v>346</v>
      </c>
      <c r="M205" s="42" t="s">
        <v>304</v>
      </c>
      <c r="N205" s="43" t="str">
        <f t="shared" si="10"/>
        <v>lineStyles|shadeArea</v>
      </c>
      <c r="O205" s="31" t="s">
        <v>302</v>
      </c>
      <c r="P205" s="31" t="s">
        <v>302</v>
      </c>
      <c r="Q205" s="31" t="s">
        <v>302</v>
      </c>
      <c r="R205" s="31" t="s">
        <v>302</v>
      </c>
      <c r="S205" s="31" t="s">
        <v>302</v>
      </c>
      <c r="T205" s="31" t="s">
        <v>302</v>
      </c>
      <c r="U205" s="31" t="s">
        <v>302</v>
      </c>
      <c r="V205" s="31" t="s">
        <v>302</v>
      </c>
      <c r="W205" s="31" t="s">
        <v>302</v>
      </c>
      <c r="X205" s="31" t="s">
        <v>302</v>
      </c>
      <c r="Y205" s="31" t="s">
        <v>302</v>
      </c>
      <c r="Z205" s="31" t="s">
        <v>302</v>
      </c>
      <c r="AA205" s="31" t="s">
        <v>302</v>
      </c>
      <c r="AB205" s="31" t="s">
        <v>302</v>
      </c>
      <c r="AC205" s="31"/>
      <c r="AD205" s="31"/>
      <c r="AE205" s="31"/>
      <c r="AF205" s="31"/>
      <c r="AG205" s="31"/>
      <c r="AH205" s="31"/>
      <c r="AI205" s="31"/>
      <c r="AJ205" s="31"/>
      <c r="AK205" s="31"/>
      <c r="AL205" s="31"/>
      <c r="AM205" s="31"/>
      <c r="AN205" s="31"/>
      <c r="AO205" s="31"/>
      <c r="AP205" s="31"/>
      <c r="AQ205" s="31"/>
      <c r="AR205" s="31"/>
      <c r="AS205" s="31"/>
      <c r="AT205" s="31"/>
      <c r="AU205" s="31"/>
    </row>
    <row r="206" spans="7:47" x14ac:dyDescent="0.25">
      <c r="G206" s="37">
        <f t="shared" si="9"/>
        <v>10</v>
      </c>
      <c r="H206" s="37" t="str">
        <f t="shared" si="11"/>
        <v>K198:K207</v>
      </c>
      <c r="I206" s="33" t="s">
        <v>155</v>
      </c>
      <c r="J206" s="42" t="s">
        <v>112</v>
      </c>
      <c r="K206" s="33" t="s">
        <v>448</v>
      </c>
      <c r="L206" s="42" t="s">
        <v>343</v>
      </c>
      <c r="M206" s="42" t="s">
        <v>304</v>
      </c>
      <c r="N206" s="43" t="str">
        <f t="shared" si="10"/>
        <v>lineStyles|showMarker</v>
      </c>
      <c r="O206" s="31" t="s">
        <v>302</v>
      </c>
      <c r="P206" s="31" t="s">
        <v>302</v>
      </c>
      <c r="Q206" s="31" t="s">
        <v>302</v>
      </c>
      <c r="R206" s="31" t="s">
        <v>302</v>
      </c>
      <c r="S206" s="31" t="s">
        <v>302</v>
      </c>
      <c r="T206" s="31" t="s">
        <v>302</v>
      </c>
      <c r="U206" s="31" t="s">
        <v>302</v>
      </c>
      <c r="V206" s="31" t="s">
        <v>302</v>
      </c>
      <c r="W206" s="31" t="s">
        <v>302</v>
      </c>
      <c r="X206" s="31" t="s">
        <v>302</v>
      </c>
      <c r="Y206" s="31" t="s">
        <v>302</v>
      </c>
      <c r="Z206" s="31" t="s">
        <v>302</v>
      </c>
      <c r="AA206" s="31" t="s">
        <v>302</v>
      </c>
      <c r="AB206" s="31" t="s">
        <v>302</v>
      </c>
      <c r="AC206" s="31"/>
      <c r="AD206" s="31"/>
      <c r="AE206" s="31"/>
      <c r="AF206" s="31"/>
      <c r="AG206" s="31"/>
      <c r="AH206" s="31"/>
      <c r="AI206" s="31"/>
      <c r="AJ206" s="31"/>
      <c r="AK206" s="31"/>
      <c r="AL206" s="31"/>
      <c r="AM206" s="31"/>
      <c r="AN206" s="31"/>
      <c r="AO206" s="31"/>
      <c r="AP206" s="31"/>
      <c r="AQ206" s="31"/>
      <c r="AR206" s="31"/>
      <c r="AS206" s="31"/>
      <c r="AT206" s="31"/>
      <c r="AU206" s="31"/>
    </row>
    <row r="207" spans="7:47" x14ac:dyDescent="0.25">
      <c r="G207" s="37">
        <f t="shared" si="9"/>
        <v>10</v>
      </c>
      <c r="H207" s="37" t="str">
        <f t="shared" si="11"/>
        <v>K198:K207</v>
      </c>
      <c r="I207" s="33" t="s">
        <v>155</v>
      </c>
      <c r="J207" s="42" t="s">
        <v>112</v>
      </c>
      <c r="K207" s="33" t="s">
        <v>29</v>
      </c>
      <c r="L207" s="42" t="s">
        <v>342</v>
      </c>
      <c r="M207" s="42" t="s">
        <v>310</v>
      </c>
      <c r="N207" s="43" t="str">
        <f t="shared" si="10"/>
        <v>lineStyles|strokeWidth</v>
      </c>
      <c r="O207" s="31" t="s">
        <v>302</v>
      </c>
      <c r="P207" s="31" t="s">
        <v>302</v>
      </c>
      <c r="Q207" s="31" t="s">
        <v>302</v>
      </c>
      <c r="R207" s="31" t="s">
        <v>302</v>
      </c>
      <c r="S207" s="31" t="s">
        <v>302</v>
      </c>
      <c r="T207" s="31" t="s">
        <v>302</v>
      </c>
      <c r="U207" s="31" t="s">
        <v>302</v>
      </c>
      <c r="V207" s="31" t="s">
        <v>302</v>
      </c>
      <c r="W207" s="31" t="s">
        <v>302</v>
      </c>
      <c r="X207" s="31" t="s">
        <v>302</v>
      </c>
      <c r="Y207" s="31" t="s">
        <v>302</v>
      </c>
      <c r="Z207" s="31" t="s">
        <v>302</v>
      </c>
      <c r="AA207" s="31" t="s">
        <v>302</v>
      </c>
      <c r="AB207" s="31" t="s">
        <v>302</v>
      </c>
      <c r="AC207" s="31"/>
      <c r="AD207" s="31"/>
      <c r="AE207" s="31"/>
      <c r="AF207" s="31"/>
      <c r="AG207" s="31"/>
      <c r="AH207" s="31"/>
      <c r="AI207" s="31"/>
      <c r="AJ207" s="31"/>
      <c r="AK207" s="31"/>
      <c r="AL207" s="31"/>
      <c r="AM207" s="31"/>
      <c r="AN207" s="31"/>
      <c r="AO207" s="31"/>
      <c r="AP207" s="31"/>
      <c r="AQ207" s="31"/>
      <c r="AR207" s="31"/>
      <c r="AS207" s="31"/>
      <c r="AT207" s="31"/>
      <c r="AU207" s="31"/>
    </row>
    <row r="208" spans="7:47" x14ac:dyDescent="0.25">
      <c r="G208" s="37">
        <f t="shared" si="9"/>
        <v>3</v>
      </c>
      <c r="H208" s="37" t="str">
        <f t="shared" si="11"/>
        <v>K208:K210</v>
      </c>
      <c r="I208" s="33" t="s">
        <v>168</v>
      </c>
      <c r="J208" s="42" t="s">
        <v>126</v>
      </c>
      <c r="K208" s="33" t="s">
        <v>35</v>
      </c>
      <c r="L208" s="42" t="s">
        <v>3</v>
      </c>
      <c r="M208" s="42" t="s">
        <v>104</v>
      </c>
      <c r="N208" s="43" t="str">
        <f t="shared" si="10"/>
        <v>slider|background</v>
      </c>
      <c r="O208" s="31" t="s">
        <v>302</v>
      </c>
      <c r="P208" s="31" t="s">
        <v>302</v>
      </c>
      <c r="Q208" s="31" t="s">
        <v>302</v>
      </c>
      <c r="R208" s="31" t="s">
        <v>302</v>
      </c>
      <c r="S208" s="31" t="s">
        <v>302</v>
      </c>
      <c r="T208" s="31" t="s">
        <v>302</v>
      </c>
      <c r="U208" s="31" t="s">
        <v>302</v>
      </c>
      <c r="V208" s="31" t="s">
        <v>302</v>
      </c>
      <c r="W208" s="31" t="s">
        <v>302</v>
      </c>
      <c r="X208" s="31" t="s">
        <v>302</v>
      </c>
      <c r="Y208" s="31" t="s">
        <v>302</v>
      </c>
      <c r="Z208" s="31" t="s">
        <v>302</v>
      </c>
      <c r="AA208" s="31" t="s">
        <v>302</v>
      </c>
      <c r="AB208" s="31" t="s">
        <v>302</v>
      </c>
      <c r="AC208" s="31"/>
      <c r="AD208" s="31"/>
      <c r="AE208" s="31"/>
      <c r="AF208" s="31"/>
      <c r="AG208" s="31"/>
      <c r="AH208" s="31"/>
      <c r="AI208" s="31"/>
      <c r="AJ208" s="31"/>
      <c r="AK208" s="31"/>
      <c r="AL208" s="31"/>
      <c r="AM208" s="31"/>
      <c r="AN208" s="31"/>
      <c r="AO208" s="31"/>
      <c r="AP208" s="31"/>
      <c r="AQ208" s="31"/>
      <c r="AR208" s="31"/>
      <c r="AS208" s="31"/>
      <c r="AT208" s="31"/>
      <c r="AU208" s="31"/>
    </row>
    <row r="209" spans="7:47" x14ac:dyDescent="0.25">
      <c r="G209" s="37">
        <f t="shared" si="9"/>
        <v>3</v>
      </c>
      <c r="H209" s="37" t="str">
        <f t="shared" si="11"/>
        <v>K208:K210</v>
      </c>
      <c r="I209" s="33" t="s">
        <v>168</v>
      </c>
      <c r="J209" s="42" t="s">
        <v>126</v>
      </c>
      <c r="K209" s="33" t="s">
        <v>15</v>
      </c>
      <c r="L209" s="42" t="s">
        <v>315</v>
      </c>
      <c r="M209" s="42" t="s">
        <v>104</v>
      </c>
      <c r="N209" s="43" t="str">
        <f t="shared" si="10"/>
        <v>slider|color</v>
      </c>
      <c r="O209" s="31" t="s">
        <v>302</v>
      </c>
      <c r="P209" s="31" t="s">
        <v>302</v>
      </c>
      <c r="Q209" s="31" t="s">
        <v>302</v>
      </c>
      <c r="R209" s="31" t="s">
        <v>302</v>
      </c>
      <c r="S209" s="31" t="s">
        <v>302</v>
      </c>
      <c r="T209" s="31" t="s">
        <v>302</v>
      </c>
      <c r="U209" s="31" t="s">
        <v>302</v>
      </c>
      <c r="V209" s="31" t="s">
        <v>302</v>
      </c>
      <c r="W209" s="31" t="s">
        <v>302</v>
      </c>
      <c r="X209" s="31" t="s">
        <v>302</v>
      </c>
      <c r="Y209" s="31" t="s">
        <v>302</v>
      </c>
      <c r="Z209" s="31" t="s">
        <v>302</v>
      </c>
      <c r="AA209" s="31" t="s">
        <v>302</v>
      </c>
      <c r="AB209" s="31" t="s">
        <v>302</v>
      </c>
      <c r="AC209" s="31"/>
      <c r="AD209" s="31"/>
      <c r="AE209" s="31"/>
      <c r="AF209" s="31"/>
      <c r="AG209" s="31"/>
      <c r="AH209" s="31"/>
      <c r="AI209" s="31"/>
      <c r="AJ209" s="31"/>
      <c r="AK209" s="31"/>
      <c r="AL209" s="31"/>
      <c r="AM209" s="31"/>
      <c r="AN209" s="31"/>
      <c r="AO209" s="31"/>
      <c r="AP209" s="31"/>
      <c r="AQ209" s="31"/>
      <c r="AR209" s="31"/>
      <c r="AS209" s="31"/>
      <c r="AT209" s="31"/>
      <c r="AU209" s="31"/>
    </row>
    <row r="210" spans="7:47" x14ac:dyDescent="0.25">
      <c r="G210" s="37">
        <f t="shared" si="9"/>
        <v>3</v>
      </c>
      <c r="H210" s="37" t="str">
        <f t="shared" si="11"/>
        <v>K208:K210</v>
      </c>
      <c r="I210" s="33" t="s">
        <v>168</v>
      </c>
      <c r="J210" s="42" t="s">
        <v>126</v>
      </c>
      <c r="K210" s="33" t="s">
        <v>213</v>
      </c>
      <c r="L210" s="42" t="s">
        <v>54</v>
      </c>
      <c r="M210" s="42" t="s">
        <v>304</v>
      </c>
      <c r="N210" s="43" t="str">
        <f t="shared" si="10"/>
        <v>slider|show</v>
      </c>
      <c r="O210" s="31" t="s">
        <v>302</v>
      </c>
      <c r="P210" s="31" t="s">
        <v>302</v>
      </c>
      <c r="Q210" s="31" t="s">
        <v>302</v>
      </c>
      <c r="R210" s="31" t="s">
        <v>302</v>
      </c>
      <c r="S210" s="31" t="s">
        <v>302</v>
      </c>
      <c r="T210" s="31" t="s">
        <v>302</v>
      </c>
      <c r="U210" s="31" t="s">
        <v>302</v>
      </c>
      <c r="V210" s="31" t="s">
        <v>302</v>
      </c>
      <c r="W210" s="31" t="s">
        <v>302</v>
      </c>
      <c r="X210" s="31" t="s">
        <v>302</v>
      </c>
      <c r="Y210" s="31" t="s">
        <v>302</v>
      </c>
      <c r="Z210" s="31" t="s">
        <v>302</v>
      </c>
      <c r="AA210" s="31" t="s">
        <v>302</v>
      </c>
      <c r="AB210" s="31" t="s">
        <v>302</v>
      </c>
      <c r="AC210" s="31"/>
      <c r="AD210" s="31"/>
      <c r="AE210" s="31"/>
      <c r="AF210" s="31"/>
      <c r="AG210" s="31"/>
      <c r="AH210" s="31"/>
      <c r="AI210" s="31"/>
      <c r="AJ210" s="31"/>
      <c r="AK210" s="31"/>
      <c r="AL210" s="31"/>
      <c r="AM210" s="31"/>
      <c r="AN210" s="31"/>
      <c r="AO210" s="31"/>
      <c r="AP210" s="31"/>
      <c r="AQ210" s="31"/>
      <c r="AR210" s="31"/>
      <c r="AS210" s="31"/>
      <c r="AT210" s="31"/>
      <c r="AU210" s="31"/>
    </row>
    <row r="211" spans="7:47" x14ac:dyDescent="0.25">
      <c r="G211" s="37">
        <f t="shared" si="9"/>
        <v>9</v>
      </c>
      <c r="H211" s="37" t="str">
        <f t="shared" si="11"/>
        <v>K211:K219</v>
      </c>
      <c r="I211" s="33" t="s">
        <v>170</v>
      </c>
      <c r="J211" s="42" t="s">
        <v>128</v>
      </c>
      <c r="K211" s="33" t="s">
        <v>487</v>
      </c>
      <c r="L211" s="42" t="s">
        <v>398</v>
      </c>
      <c r="M211" s="42" t="s">
        <v>304</v>
      </c>
      <c r="N211" s="43" t="str">
        <f t="shared" si="10"/>
        <v>subTotals|applyToHeaders</v>
      </c>
      <c r="O211" s="31" t="s">
        <v>302</v>
      </c>
      <c r="P211" s="31" t="s">
        <v>302</v>
      </c>
      <c r="Q211" s="31" t="s">
        <v>302</v>
      </c>
      <c r="R211" s="31" t="s">
        <v>302</v>
      </c>
      <c r="S211" s="31" t="s">
        <v>302</v>
      </c>
      <c r="T211" s="31" t="s">
        <v>302</v>
      </c>
      <c r="U211" s="31" t="s">
        <v>302</v>
      </c>
      <c r="V211" s="31" t="s">
        <v>302</v>
      </c>
      <c r="W211" s="31" t="s">
        <v>302</v>
      </c>
      <c r="X211" s="31" t="s">
        <v>302</v>
      </c>
      <c r="Y211" s="31" t="s">
        <v>302</v>
      </c>
      <c r="Z211" s="31" t="s">
        <v>302</v>
      </c>
      <c r="AA211" s="31" t="s">
        <v>302</v>
      </c>
      <c r="AB211" s="31" t="s">
        <v>302</v>
      </c>
      <c r="AC211" s="31"/>
      <c r="AD211" s="31"/>
      <c r="AE211" s="31"/>
      <c r="AF211" s="31"/>
      <c r="AG211" s="31"/>
      <c r="AH211" s="31"/>
      <c r="AI211" s="31"/>
      <c r="AJ211" s="31"/>
      <c r="AK211" s="31"/>
      <c r="AL211" s="31"/>
      <c r="AM211" s="31"/>
      <c r="AN211" s="31"/>
      <c r="AO211" s="31"/>
      <c r="AP211" s="31"/>
      <c r="AQ211" s="31"/>
      <c r="AR211" s="31"/>
      <c r="AS211" s="31"/>
      <c r="AT211" s="31"/>
      <c r="AU211" s="31"/>
    </row>
    <row r="212" spans="7:47" x14ac:dyDescent="0.25">
      <c r="G212" s="37">
        <f t="shared" si="9"/>
        <v>9</v>
      </c>
      <c r="H212" s="37" t="str">
        <f t="shared" si="11"/>
        <v>K211:K219</v>
      </c>
      <c r="I212" s="33" t="s">
        <v>170</v>
      </c>
      <c r="J212" s="42" t="s">
        <v>128</v>
      </c>
      <c r="K212" s="33" t="s">
        <v>34</v>
      </c>
      <c r="L212" s="42" t="s">
        <v>389</v>
      </c>
      <c r="M212" s="42" t="s">
        <v>104</v>
      </c>
      <c r="N212" s="43" t="str">
        <f t="shared" si="10"/>
        <v>subTotals|backColor</v>
      </c>
      <c r="O212" s="31" t="s">
        <v>302</v>
      </c>
      <c r="P212" s="31" t="s">
        <v>302</v>
      </c>
      <c r="Q212" s="31" t="s">
        <v>302</v>
      </c>
      <c r="R212" s="31" t="s">
        <v>302</v>
      </c>
      <c r="S212" s="31" t="s">
        <v>302</v>
      </c>
      <c r="T212" s="31" t="s">
        <v>302</v>
      </c>
      <c r="U212" s="31" t="s">
        <v>302</v>
      </c>
      <c r="V212" s="31" t="s">
        <v>302</v>
      </c>
      <c r="W212" s="31" t="s">
        <v>302</v>
      </c>
      <c r="X212" s="31" t="s">
        <v>302</v>
      </c>
      <c r="Y212" s="31" t="s">
        <v>302</v>
      </c>
      <c r="Z212" s="31" t="s">
        <v>302</v>
      </c>
      <c r="AA212" s="31" t="s">
        <v>302</v>
      </c>
      <c r="AB212" s="31" t="s">
        <v>302</v>
      </c>
      <c r="AC212" s="31"/>
      <c r="AD212" s="31"/>
      <c r="AE212" s="31"/>
      <c r="AF212" s="31"/>
      <c r="AG212" s="31"/>
      <c r="AH212" s="31"/>
      <c r="AI212" s="31"/>
      <c r="AJ212" s="31"/>
      <c r="AK212" s="31"/>
      <c r="AL212" s="31"/>
      <c r="AM212" s="31"/>
      <c r="AN212" s="31"/>
      <c r="AO212" s="31"/>
      <c r="AP212" s="31"/>
      <c r="AQ212" s="31"/>
      <c r="AR212" s="31"/>
      <c r="AS212" s="31"/>
      <c r="AT212" s="31"/>
      <c r="AU212" s="31"/>
    </row>
    <row r="213" spans="7:47" x14ac:dyDescent="0.25">
      <c r="G213" s="37">
        <f t="shared" si="9"/>
        <v>9</v>
      </c>
      <c r="H213" s="37" t="str">
        <f t="shared" si="11"/>
        <v>K211:K219</v>
      </c>
      <c r="I213" s="33" t="s">
        <v>170</v>
      </c>
      <c r="J213" s="42" t="s">
        <v>128</v>
      </c>
      <c r="K213" s="33" t="s">
        <v>33</v>
      </c>
      <c r="L213" s="42" t="s">
        <v>211</v>
      </c>
      <c r="M213" s="42" t="s">
        <v>104</v>
      </c>
      <c r="N213" s="43" t="str">
        <f t="shared" si="10"/>
        <v>subTotals|fontColor</v>
      </c>
      <c r="O213" s="31" t="s">
        <v>302</v>
      </c>
      <c r="P213" s="31" t="s">
        <v>302</v>
      </c>
      <c r="Q213" s="31" t="s">
        <v>302</v>
      </c>
      <c r="R213" s="31" t="s">
        <v>302</v>
      </c>
      <c r="S213" s="31" t="s">
        <v>302</v>
      </c>
      <c r="T213" s="31" t="s">
        <v>302</v>
      </c>
      <c r="U213" s="31" t="s">
        <v>302</v>
      </c>
      <c r="V213" s="31" t="s">
        <v>302</v>
      </c>
      <c r="W213" s="31" t="s">
        <v>302</v>
      </c>
      <c r="X213" s="31" t="s">
        <v>302</v>
      </c>
      <c r="Y213" s="31" t="s">
        <v>302</v>
      </c>
      <c r="Z213" s="31" t="s">
        <v>302</v>
      </c>
      <c r="AA213" s="31" t="s">
        <v>302</v>
      </c>
      <c r="AB213" s="31" t="s">
        <v>302</v>
      </c>
      <c r="AC213" s="31"/>
      <c r="AD213" s="31"/>
      <c r="AE213" s="31"/>
      <c r="AF213" s="31"/>
      <c r="AG213" s="31"/>
      <c r="AH213" s="31"/>
      <c r="AI213" s="31"/>
      <c r="AJ213" s="31"/>
      <c r="AK213" s="31"/>
      <c r="AL213" s="31"/>
      <c r="AM213" s="31"/>
      <c r="AN213" s="31"/>
      <c r="AO213" s="31"/>
      <c r="AP213" s="31"/>
      <c r="AQ213" s="31"/>
      <c r="AR213" s="31"/>
      <c r="AS213" s="31"/>
      <c r="AT213" s="31"/>
      <c r="AU213" s="31"/>
    </row>
    <row r="214" spans="7:47" x14ac:dyDescent="0.25">
      <c r="G214" s="37">
        <f t="shared" si="9"/>
        <v>9</v>
      </c>
      <c r="H214" s="37" t="str">
        <f t="shared" si="11"/>
        <v>K211:K219</v>
      </c>
      <c r="I214" s="33" t="s">
        <v>170</v>
      </c>
      <c r="J214" s="42" t="s">
        <v>128</v>
      </c>
      <c r="K214" s="33" t="s">
        <v>17</v>
      </c>
      <c r="L214" s="42" t="s">
        <v>5</v>
      </c>
      <c r="M214" s="42" t="s">
        <v>307</v>
      </c>
      <c r="N214" s="43" t="str">
        <f t="shared" si="10"/>
        <v>subTotals|fontFamily</v>
      </c>
      <c r="O214" s="31" t="s">
        <v>302</v>
      </c>
      <c r="P214" s="31" t="s">
        <v>302</v>
      </c>
      <c r="Q214" s="31" t="s">
        <v>302</v>
      </c>
      <c r="R214" s="31" t="s">
        <v>302</v>
      </c>
      <c r="S214" s="31" t="s">
        <v>302</v>
      </c>
      <c r="T214" s="31" t="s">
        <v>302</v>
      </c>
      <c r="U214" s="31" t="s">
        <v>302</v>
      </c>
      <c r="V214" s="31" t="s">
        <v>302</v>
      </c>
      <c r="W214" s="31" t="s">
        <v>302</v>
      </c>
      <c r="X214" s="31" t="s">
        <v>302</v>
      </c>
      <c r="Y214" s="31" t="s">
        <v>302</v>
      </c>
      <c r="Z214" s="31" t="s">
        <v>302</v>
      </c>
      <c r="AA214" s="31" t="s">
        <v>302</v>
      </c>
      <c r="AB214" s="31" t="s">
        <v>302</v>
      </c>
      <c r="AC214" s="31"/>
      <c r="AD214" s="31"/>
      <c r="AE214" s="31"/>
      <c r="AF214" s="31"/>
      <c r="AG214" s="31"/>
      <c r="AH214" s="31"/>
      <c r="AI214" s="31"/>
      <c r="AJ214" s="31"/>
      <c r="AK214" s="31"/>
      <c r="AL214" s="31"/>
      <c r="AM214" s="31"/>
      <c r="AN214" s="31"/>
      <c r="AO214" s="31"/>
      <c r="AP214" s="31"/>
      <c r="AQ214" s="31"/>
      <c r="AR214" s="31"/>
      <c r="AS214" s="31"/>
      <c r="AT214" s="31"/>
      <c r="AU214" s="31"/>
    </row>
    <row r="215" spans="7:47" x14ac:dyDescent="0.25">
      <c r="G215" s="37">
        <f t="shared" si="9"/>
        <v>9</v>
      </c>
      <c r="H215" s="37" t="str">
        <f t="shared" si="11"/>
        <v>K211:K219</v>
      </c>
      <c r="I215" s="33" t="s">
        <v>170</v>
      </c>
      <c r="J215" s="42" t="s">
        <v>128</v>
      </c>
      <c r="K215" s="33" t="s">
        <v>358</v>
      </c>
      <c r="L215" s="42" t="s">
        <v>236</v>
      </c>
      <c r="M215" s="42" t="s">
        <v>305</v>
      </c>
      <c r="N215" s="43" t="str">
        <f t="shared" si="10"/>
        <v>subTotals|outline</v>
      </c>
      <c r="O215" s="31" t="s">
        <v>51</v>
      </c>
      <c r="P215" s="31" t="s">
        <v>283</v>
      </c>
      <c r="Q215" s="31" t="s">
        <v>284</v>
      </c>
      <c r="R215" s="31" t="s">
        <v>285</v>
      </c>
      <c r="S215" s="31" t="s">
        <v>286</v>
      </c>
      <c r="T215" s="31" t="s">
        <v>287</v>
      </c>
      <c r="U215" s="31" t="s">
        <v>288</v>
      </c>
      <c r="V215" s="31" t="s">
        <v>238</v>
      </c>
      <c r="W215" s="31"/>
      <c r="X215" s="31"/>
      <c r="Y215" s="31"/>
      <c r="Z215" s="31"/>
      <c r="AA215" s="31"/>
      <c r="AB215" s="31"/>
      <c r="AC215" s="31"/>
      <c r="AD215" s="31"/>
      <c r="AE215" s="31"/>
      <c r="AF215" s="31"/>
      <c r="AG215" s="31"/>
      <c r="AH215" s="31"/>
      <c r="AI215" s="31"/>
      <c r="AJ215" s="31"/>
      <c r="AK215" s="31"/>
      <c r="AL215" s="31"/>
      <c r="AM215" s="31"/>
      <c r="AN215" s="31"/>
      <c r="AO215" s="31"/>
      <c r="AP215" s="31"/>
      <c r="AQ215" s="31"/>
      <c r="AR215" s="31"/>
      <c r="AS215" s="31"/>
      <c r="AT215" s="31"/>
      <c r="AU215" s="31"/>
    </row>
    <row r="216" spans="7:47" x14ac:dyDescent="0.25">
      <c r="G216" s="37">
        <f t="shared" si="9"/>
        <v>9</v>
      </c>
      <c r="H216" s="37" t="str">
        <f t="shared" si="11"/>
        <v>K211:K219</v>
      </c>
      <c r="I216" s="33" t="s">
        <v>170</v>
      </c>
      <c r="J216" s="42" t="s">
        <v>128</v>
      </c>
      <c r="K216" s="33" t="s">
        <v>16</v>
      </c>
      <c r="L216" s="42" t="s">
        <v>4</v>
      </c>
      <c r="M216" s="42" t="s">
        <v>307</v>
      </c>
      <c r="N216" s="43" t="str">
        <f t="shared" si="10"/>
        <v>subTotals|fontSize</v>
      </c>
      <c r="O216" s="31" t="s">
        <v>302</v>
      </c>
      <c r="P216" s="31" t="s">
        <v>302</v>
      </c>
      <c r="Q216" s="31" t="s">
        <v>302</v>
      </c>
      <c r="R216" s="31" t="s">
        <v>302</v>
      </c>
      <c r="S216" s="31" t="s">
        <v>302</v>
      </c>
      <c r="T216" s="31" t="s">
        <v>302</v>
      </c>
      <c r="U216" s="31" t="s">
        <v>302</v>
      </c>
      <c r="V216" s="31" t="s">
        <v>302</v>
      </c>
      <c r="W216" s="31" t="s">
        <v>302</v>
      </c>
      <c r="X216" s="31" t="s">
        <v>302</v>
      </c>
      <c r="Y216" s="31" t="s">
        <v>302</v>
      </c>
      <c r="Z216" s="31" t="s">
        <v>302</v>
      </c>
      <c r="AA216" s="31" t="s">
        <v>302</v>
      </c>
      <c r="AB216" s="31" t="s">
        <v>302</v>
      </c>
      <c r="AC216" s="31"/>
      <c r="AD216" s="31"/>
      <c r="AE216" s="31"/>
      <c r="AF216" s="31"/>
      <c r="AG216" s="31"/>
      <c r="AH216" s="31"/>
      <c r="AI216" s="31"/>
      <c r="AJ216" s="31"/>
      <c r="AK216" s="31"/>
      <c r="AL216" s="31"/>
      <c r="AM216" s="31"/>
      <c r="AN216" s="31"/>
      <c r="AO216" s="31"/>
      <c r="AP216" s="31"/>
      <c r="AQ216" s="31"/>
      <c r="AR216" s="31"/>
      <c r="AS216" s="31"/>
      <c r="AT216" s="31"/>
      <c r="AU216" s="31"/>
    </row>
    <row r="217" spans="7:47" x14ac:dyDescent="0.25">
      <c r="G217" s="37">
        <f t="shared" si="9"/>
        <v>9</v>
      </c>
      <c r="H217" s="37" t="str">
        <f t="shared" si="11"/>
        <v>K211:K219</v>
      </c>
      <c r="I217" s="33" t="s">
        <v>170</v>
      </c>
      <c r="J217" s="42" t="s">
        <v>128</v>
      </c>
      <c r="K217" s="33" t="s">
        <v>495</v>
      </c>
      <c r="L217" s="42" t="s">
        <v>409</v>
      </c>
      <c r="M217" s="42" t="s">
        <v>304</v>
      </c>
      <c r="N217" s="43" t="str">
        <f t="shared" si="10"/>
        <v>subTotals|columnSubtotals</v>
      </c>
      <c r="O217" s="31" t="s">
        <v>302</v>
      </c>
      <c r="P217" s="31" t="s">
        <v>302</v>
      </c>
      <c r="Q217" s="31" t="s">
        <v>302</v>
      </c>
      <c r="R217" s="31" t="s">
        <v>302</v>
      </c>
      <c r="S217" s="31" t="s">
        <v>302</v>
      </c>
      <c r="T217" s="31" t="s">
        <v>302</v>
      </c>
      <c r="U217" s="31" t="s">
        <v>302</v>
      </c>
      <c r="V217" s="31" t="s">
        <v>302</v>
      </c>
      <c r="W217" s="31" t="s">
        <v>302</v>
      </c>
      <c r="X217" s="31" t="s">
        <v>302</v>
      </c>
      <c r="Y217" s="31" t="s">
        <v>302</v>
      </c>
      <c r="Z217" s="31" t="s">
        <v>302</v>
      </c>
      <c r="AA217" s="31" t="s">
        <v>302</v>
      </c>
      <c r="AB217" s="31" t="s">
        <v>302</v>
      </c>
      <c r="AC217" s="31"/>
      <c r="AD217" s="31"/>
      <c r="AE217" s="31"/>
      <c r="AF217" s="31"/>
      <c r="AG217" s="31"/>
      <c r="AH217" s="31"/>
      <c r="AI217" s="31"/>
      <c r="AJ217" s="31"/>
      <c r="AK217" s="31"/>
      <c r="AL217" s="31"/>
      <c r="AM217" s="31"/>
      <c r="AN217" s="31"/>
      <c r="AO217" s="31"/>
      <c r="AP217" s="31"/>
      <c r="AQ217" s="31"/>
      <c r="AR217" s="31"/>
      <c r="AS217" s="31"/>
      <c r="AT217" s="31"/>
      <c r="AU217" s="31"/>
    </row>
    <row r="218" spans="7:47" x14ac:dyDescent="0.25">
      <c r="G218" s="37">
        <f t="shared" si="9"/>
        <v>9</v>
      </c>
      <c r="H218" s="37" t="str">
        <f t="shared" si="11"/>
        <v>K211:K219</v>
      </c>
      <c r="I218" s="33" t="s">
        <v>170</v>
      </c>
      <c r="J218" s="42" t="s">
        <v>128</v>
      </c>
      <c r="K218" s="33" t="s">
        <v>494</v>
      </c>
      <c r="L218" s="42" t="s">
        <v>407</v>
      </c>
      <c r="M218" s="42" t="s">
        <v>304</v>
      </c>
      <c r="N218" s="43" t="str">
        <f t="shared" si="10"/>
        <v>subTotals|rowSubtotals</v>
      </c>
      <c r="O218" s="31" t="s">
        <v>302</v>
      </c>
      <c r="P218" s="31" t="s">
        <v>302</v>
      </c>
      <c r="Q218" s="31" t="s">
        <v>302</v>
      </c>
      <c r="R218" s="31" t="s">
        <v>302</v>
      </c>
      <c r="S218" s="31" t="s">
        <v>302</v>
      </c>
      <c r="T218" s="31" t="s">
        <v>302</v>
      </c>
      <c r="U218" s="31" t="s">
        <v>302</v>
      </c>
      <c r="V218" s="31" t="s">
        <v>302</v>
      </c>
      <c r="W218" s="31" t="s">
        <v>302</v>
      </c>
      <c r="X218" s="31" t="s">
        <v>302</v>
      </c>
      <c r="Y218" s="31" t="s">
        <v>302</v>
      </c>
      <c r="Z218" s="31" t="s">
        <v>302</v>
      </c>
      <c r="AA218" s="31" t="s">
        <v>302</v>
      </c>
      <c r="AB218" s="31" t="s">
        <v>302</v>
      </c>
      <c r="AC218" s="31"/>
      <c r="AD218" s="31"/>
      <c r="AE218" s="31"/>
      <c r="AF218" s="31"/>
      <c r="AG218" s="31"/>
      <c r="AH218" s="31"/>
      <c r="AI218" s="31"/>
      <c r="AJ218" s="31"/>
      <c r="AK218" s="31"/>
      <c r="AL218" s="31"/>
      <c r="AM218" s="31"/>
      <c r="AN218" s="31"/>
      <c r="AO218" s="31"/>
      <c r="AP218" s="31"/>
      <c r="AQ218" s="31"/>
      <c r="AR218" s="31"/>
      <c r="AS218" s="31"/>
      <c r="AT218" s="31"/>
      <c r="AU218" s="31"/>
    </row>
    <row r="219" spans="7:47" x14ac:dyDescent="0.25">
      <c r="G219" s="37">
        <f t="shared" si="9"/>
        <v>9</v>
      </c>
      <c r="H219" s="37" t="str">
        <f t="shared" si="11"/>
        <v>K211:K219</v>
      </c>
      <c r="I219" s="33" t="s">
        <v>170</v>
      </c>
      <c r="J219" s="42" t="s">
        <v>128</v>
      </c>
      <c r="K219" s="33" t="s">
        <v>481</v>
      </c>
      <c r="L219" s="42" t="s">
        <v>391</v>
      </c>
      <c r="M219" s="42" t="s">
        <v>304</v>
      </c>
      <c r="N219" s="43" t="str">
        <f t="shared" si="10"/>
        <v>subTotals|urlIcon</v>
      </c>
      <c r="O219" s="31" t="s">
        <v>302</v>
      </c>
      <c r="P219" s="31" t="s">
        <v>302</v>
      </c>
      <c r="Q219" s="31" t="s">
        <v>302</v>
      </c>
      <c r="R219" s="31" t="s">
        <v>302</v>
      </c>
      <c r="S219" s="31" t="s">
        <v>302</v>
      </c>
      <c r="T219" s="31" t="s">
        <v>302</v>
      </c>
      <c r="U219" s="31" t="s">
        <v>302</v>
      </c>
      <c r="V219" s="31" t="s">
        <v>302</v>
      </c>
      <c r="W219" s="31" t="s">
        <v>302</v>
      </c>
      <c r="X219" s="31" t="s">
        <v>302</v>
      </c>
      <c r="Y219" s="31" t="s">
        <v>302</v>
      </c>
      <c r="Z219" s="31" t="s">
        <v>302</v>
      </c>
      <c r="AA219" s="31" t="s">
        <v>302</v>
      </c>
      <c r="AB219" s="31" t="s">
        <v>302</v>
      </c>
      <c r="AC219" s="31"/>
      <c r="AD219" s="31"/>
      <c r="AE219" s="31"/>
      <c r="AF219" s="31"/>
      <c r="AG219" s="31"/>
      <c r="AH219" s="31"/>
      <c r="AI219" s="31"/>
      <c r="AJ219" s="31"/>
      <c r="AK219" s="31"/>
      <c r="AL219" s="31"/>
      <c r="AM219" s="31"/>
      <c r="AN219" s="31"/>
      <c r="AO219" s="31"/>
      <c r="AP219" s="31"/>
      <c r="AQ219" s="31"/>
      <c r="AR219" s="31"/>
      <c r="AS219" s="31"/>
      <c r="AT219" s="31"/>
      <c r="AU219" s="31"/>
    </row>
    <row r="220" spans="7:47" x14ac:dyDescent="0.25">
      <c r="G220" s="37">
        <f t="shared" si="9"/>
        <v>4</v>
      </c>
      <c r="H220" s="37" t="str">
        <f t="shared" si="11"/>
        <v>K220:K223</v>
      </c>
      <c r="I220" s="33" t="s">
        <v>160</v>
      </c>
      <c r="J220" s="42" t="s">
        <v>118</v>
      </c>
      <c r="K220" s="33" t="s">
        <v>471</v>
      </c>
      <c r="L220" s="42" t="s">
        <v>378</v>
      </c>
      <c r="M220" s="42" t="s">
        <v>104</v>
      </c>
      <c r="N220" s="43" t="str">
        <f t="shared" si="10"/>
        <v>plotAreaShading|lowerShadingColor</v>
      </c>
      <c r="O220" s="31" t="s">
        <v>302</v>
      </c>
      <c r="P220" s="31" t="s">
        <v>302</v>
      </c>
      <c r="Q220" s="31" t="s">
        <v>302</v>
      </c>
      <c r="R220" s="31" t="s">
        <v>302</v>
      </c>
      <c r="S220" s="31" t="s">
        <v>302</v>
      </c>
      <c r="T220" s="31" t="s">
        <v>302</v>
      </c>
      <c r="U220" s="31" t="s">
        <v>302</v>
      </c>
      <c r="V220" s="31" t="s">
        <v>302</v>
      </c>
      <c r="W220" s="31" t="s">
        <v>302</v>
      </c>
      <c r="X220" s="31" t="s">
        <v>302</v>
      </c>
      <c r="Y220" s="31" t="s">
        <v>302</v>
      </c>
      <c r="Z220" s="31" t="s">
        <v>302</v>
      </c>
      <c r="AA220" s="31" t="s">
        <v>302</v>
      </c>
      <c r="AB220" s="31" t="s">
        <v>302</v>
      </c>
      <c r="AC220" s="31"/>
      <c r="AD220" s="31"/>
      <c r="AE220" s="31"/>
      <c r="AF220" s="31"/>
      <c r="AG220" s="31"/>
      <c r="AH220" s="31"/>
      <c r="AI220" s="31"/>
      <c r="AJ220" s="31"/>
      <c r="AK220" s="31"/>
      <c r="AL220" s="31"/>
      <c r="AM220" s="31"/>
      <c r="AN220" s="31"/>
      <c r="AO220" s="31"/>
      <c r="AP220" s="31"/>
      <c r="AQ220" s="31"/>
      <c r="AR220" s="31"/>
      <c r="AS220" s="31"/>
      <c r="AT220" s="31"/>
      <c r="AU220" s="31"/>
    </row>
    <row r="221" spans="7:47" x14ac:dyDescent="0.25">
      <c r="G221" s="37">
        <f t="shared" si="9"/>
        <v>4</v>
      </c>
      <c r="H221" s="37" t="str">
        <f t="shared" si="11"/>
        <v>K220:K223</v>
      </c>
      <c r="I221" s="33" t="s">
        <v>160</v>
      </c>
      <c r="J221" s="42" t="s">
        <v>118</v>
      </c>
      <c r="K221" s="33" t="s">
        <v>213</v>
      </c>
      <c r="L221" s="42" t="s">
        <v>54</v>
      </c>
      <c r="M221" s="42" t="s">
        <v>304</v>
      </c>
      <c r="N221" s="43" t="str">
        <f t="shared" si="10"/>
        <v>plotAreaShading|show</v>
      </c>
      <c r="O221" s="31" t="s">
        <v>302</v>
      </c>
      <c r="P221" s="31" t="s">
        <v>302</v>
      </c>
      <c r="Q221" s="31" t="s">
        <v>302</v>
      </c>
      <c r="R221" s="31" t="s">
        <v>302</v>
      </c>
      <c r="S221" s="31" t="s">
        <v>302</v>
      </c>
      <c r="T221" s="31" t="s">
        <v>302</v>
      </c>
      <c r="U221" s="31" t="s">
        <v>302</v>
      </c>
      <c r="V221" s="31" t="s">
        <v>302</v>
      </c>
      <c r="W221" s="31" t="s">
        <v>302</v>
      </c>
      <c r="X221" s="31" t="s">
        <v>302</v>
      </c>
      <c r="Y221" s="31" t="s">
        <v>302</v>
      </c>
      <c r="Z221" s="31" t="s">
        <v>302</v>
      </c>
      <c r="AA221" s="31" t="s">
        <v>302</v>
      </c>
      <c r="AB221" s="31" t="s">
        <v>302</v>
      </c>
      <c r="AC221" s="31"/>
      <c r="AD221" s="31"/>
      <c r="AE221" s="31"/>
      <c r="AF221" s="31"/>
      <c r="AG221" s="31"/>
      <c r="AH221" s="31"/>
      <c r="AI221" s="31"/>
      <c r="AJ221" s="31"/>
      <c r="AK221" s="31"/>
      <c r="AL221" s="31"/>
      <c r="AM221" s="31"/>
      <c r="AN221" s="31"/>
      <c r="AO221" s="31"/>
      <c r="AP221" s="31"/>
      <c r="AQ221" s="31"/>
      <c r="AR221" s="31"/>
      <c r="AS221" s="31"/>
      <c r="AT221" s="31"/>
      <c r="AU221" s="31"/>
    </row>
    <row r="222" spans="7:47" x14ac:dyDescent="0.25">
      <c r="G222" s="37">
        <f t="shared" si="9"/>
        <v>4</v>
      </c>
      <c r="H222" s="37" t="str">
        <f t="shared" si="11"/>
        <v>K220:K223</v>
      </c>
      <c r="I222" s="33" t="s">
        <v>160</v>
      </c>
      <c r="J222" s="42" t="s">
        <v>118</v>
      </c>
      <c r="K222" s="33" t="s">
        <v>32</v>
      </c>
      <c r="L222" s="42" t="s">
        <v>208</v>
      </c>
      <c r="M222" s="42" t="s">
        <v>310</v>
      </c>
      <c r="N222" s="43" t="str">
        <f t="shared" si="10"/>
        <v>plotAreaShading|transparency</v>
      </c>
      <c r="O222" s="31" t="s">
        <v>302</v>
      </c>
      <c r="P222" s="31" t="s">
        <v>302</v>
      </c>
      <c r="Q222" s="31" t="s">
        <v>302</v>
      </c>
      <c r="R222" s="31" t="s">
        <v>302</v>
      </c>
      <c r="S222" s="31" t="s">
        <v>302</v>
      </c>
      <c r="T222" s="31" t="s">
        <v>302</v>
      </c>
      <c r="U222" s="31" t="s">
        <v>302</v>
      </c>
      <c r="V222" s="31" t="s">
        <v>302</v>
      </c>
      <c r="W222" s="31" t="s">
        <v>302</v>
      </c>
      <c r="X222" s="31" t="s">
        <v>302</v>
      </c>
      <c r="Y222" s="31" t="s">
        <v>302</v>
      </c>
      <c r="Z222" s="31" t="s">
        <v>302</v>
      </c>
      <c r="AA222" s="31" t="s">
        <v>302</v>
      </c>
      <c r="AB222" s="31" t="s">
        <v>302</v>
      </c>
      <c r="AC222" s="31"/>
      <c r="AD222" s="31"/>
      <c r="AE222" s="31"/>
      <c r="AF222" s="31"/>
      <c r="AG222" s="31"/>
      <c r="AH222" s="31"/>
      <c r="AI222" s="31"/>
      <c r="AJ222" s="31"/>
      <c r="AK222" s="31"/>
      <c r="AL222" s="31"/>
      <c r="AM222" s="31"/>
      <c r="AN222" s="31"/>
      <c r="AO222" s="31"/>
      <c r="AP222" s="31"/>
      <c r="AQ222" s="31"/>
      <c r="AR222" s="31"/>
      <c r="AS222" s="31"/>
      <c r="AT222" s="31"/>
      <c r="AU222" s="31"/>
    </row>
    <row r="223" spans="7:47" x14ac:dyDescent="0.25">
      <c r="G223" s="37">
        <f t="shared" si="9"/>
        <v>4</v>
      </c>
      <c r="H223" s="37" t="str">
        <f t="shared" si="11"/>
        <v>K220:K223</v>
      </c>
      <c r="I223" s="33" t="s">
        <v>160</v>
      </c>
      <c r="J223" s="42" t="s">
        <v>118</v>
      </c>
      <c r="K223" s="33" t="s">
        <v>470</v>
      </c>
      <c r="L223" s="42" t="s">
        <v>377</v>
      </c>
      <c r="M223" s="42" t="s">
        <v>104</v>
      </c>
      <c r="N223" s="43" t="str">
        <f t="shared" si="10"/>
        <v>plotAreaShading|upperShadingColor</v>
      </c>
      <c r="O223" s="31" t="s">
        <v>302</v>
      </c>
      <c r="P223" s="31" t="s">
        <v>302</v>
      </c>
      <c r="Q223" s="31" t="s">
        <v>302</v>
      </c>
      <c r="R223" s="31" t="s">
        <v>302</v>
      </c>
      <c r="S223" s="31" t="s">
        <v>302</v>
      </c>
      <c r="T223" s="31" t="s">
        <v>302</v>
      </c>
      <c r="U223" s="31" t="s">
        <v>302</v>
      </c>
      <c r="V223" s="31" t="s">
        <v>302</v>
      </c>
      <c r="W223" s="31" t="s">
        <v>302</v>
      </c>
      <c r="X223" s="31" t="s">
        <v>302</v>
      </c>
      <c r="Y223" s="31" t="s">
        <v>302</v>
      </c>
      <c r="Z223" s="31" t="s">
        <v>302</v>
      </c>
      <c r="AA223" s="31" t="s">
        <v>302</v>
      </c>
      <c r="AB223" s="31" t="s">
        <v>302</v>
      </c>
      <c r="AC223" s="31"/>
      <c r="AD223" s="31"/>
      <c r="AE223" s="31"/>
      <c r="AF223" s="31"/>
      <c r="AG223" s="31"/>
      <c r="AH223" s="31"/>
      <c r="AI223" s="31"/>
      <c r="AJ223" s="31"/>
      <c r="AK223" s="31"/>
      <c r="AL223" s="31"/>
      <c r="AM223" s="31"/>
      <c r="AN223" s="31"/>
      <c r="AO223" s="31"/>
      <c r="AP223" s="31"/>
      <c r="AQ223" s="31"/>
      <c r="AR223" s="31"/>
      <c r="AS223" s="31"/>
      <c r="AT223" s="31"/>
      <c r="AU223" s="31"/>
    </row>
    <row r="224" spans="7:47" x14ac:dyDescent="0.25">
      <c r="G224" s="37">
        <f t="shared" si="9"/>
        <v>7</v>
      </c>
      <c r="H224" s="37" t="str">
        <f t="shared" si="11"/>
        <v>K224:K230</v>
      </c>
      <c r="I224" s="33" t="s">
        <v>171</v>
      </c>
      <c r="J224" s="42" t="s">
        <v>129</v>
      </c>
      <c r="K224" s="33" t="s">
        <v>15</v>
      </c>
      <c r="L224" s="42" t="s">
        <v>315</v>
      </c>
      <c r="M224" s="42" t="s">
        <v>104</v>
      </c>
      <c r="N224" s="43" t="str">
        <f t="shared" si="10"/>
        <v>target|color</v>
      </c>
      <c r="O224" s="31" t="s">
        <v>302</v>
      </c>
      <c r="P224" s="31" t="s">
        <v>302</v>
      </c>
      <c r="Q224" s="31" t="s">
        <v>302</v>
      </c>
      <c r="R224" s="31" t="s">
        <v>302</v>
      </c>
      <c r="S224" s="31" t="s">
        <v>302</v>
      </c>
      <c r="T224" s="31" t="s">
        <v>302</v>
      </c>
      <c r="U224" s="31" t="s">
        <v>302</v>
      </c>
      <c r="V224" s="31" t="s">
        <v>302</v>
      </c>
      <c r="W224" s="31" t="s">
        <v>302</v>
      </c>
      <c r="X224" s="31" t="s">
        <v>302</v>
      </c>
      <c r="Y224" s="31" t="s">
        <v>302</v>
      </c>
      <c r="Z224" s="31" t="s">
        <v>302</v>
      </c>
      <c r="AA224" s="31" t="s">
        <v>302</v>
      </c>
      <c r="AB224" s="31" t="s">
        <v>302</v>
      </c>
      <c r="AC224" s="31"/>
      <c r="AD224" s="31"/>
      <c r="AE224" s="31"/>
      <c r="AF224" s="31"/>
      <c r="AG224" s="31"/>
      <c r="AH224" s="31"/>
      <c r="AI224" s="31"/>
      <c r="AJ224" s="31"/>
      <c r="AK224" s="31"/>
      <c r="AL224" s="31"/>
      <c r="AM224" s="31"/>
      <c r="AN224" s="31"/>
      <c r="AO224" s="31"/>
      <c r="AP224" s="31"/>
      <c r="AQ224" s="31"/>
      <c r="AR224" s="31"/>
      <c r="AS224" s="31"/>
      <c r="AT224" s="31"/>
      <c r="AU224" s="31"/>
    </row>
    <row r="225" spans="7:47" x14ac:dyDescent="0.25">
      <c r="G225" s="37">
        <f t="shared" si="9"/>
        <v>7</v>
      </c>
      <c r="H225" s="37" t="str">
        <f t="shared" si="11"/>
        <v>K224:K230</v>
      </c>
      <c r="I225" s="33" t="s">
        <v>171</v>
      </c>
      <c r="J225" s="42" t="s">
        <v>129</v>
      </c>
      <c r="K225" s="33" t="s">
        <v>27</v>
      </c>
      <c r="L225" s="42" t="s">
        <v>214</v>
      </c>
      <c r="M225" s="42" t="s">
        <v>307</v>
      </c>
      <c r="N225" s="43" t="str">
        <f t="shared" si="10"/>
        <v>target|labelDisplayUnits</v>
      </c>
      <c r="O225" s="31" t="s">
        <v>302</v>
      </c>
      <c r="P225" s="31" t="s">
        <v>302</v>
      </c>
      <c r="Q225" s="31" t="s">
        <v>302</v>
      </c>
      <c r="R225" s="31" t="s">
        <v>302</v>
      </c>
      <c r="S225" s="31" t="s">
        <v>302</v>
      </c>
      <c r="T225" s="31" t="s">
        <v>302</v>
      </c>
      <c r="U225" s="31" t="s">
        <v>302</v>
      </c>
      <c r="V225" s="31" t="s">
        <v>302</v>
      </c>
      <c r="W225" s="31" t="s">
        <v>302</v>
      </c>
      <c r="X225" s="31" t="s">
        <v>302</v>
      </c>
      <c r="Y225" s="31" t="s">
        <v>302</v>
      </c>
      <c r="Z225" s="31" t="s">
        <v>302</v>
      </c>
      <c r="AA225" s="31" t="s">
        <v>302</v>
      </c>
      <c r="AB225" s="31" t="s">
        <v>302</v>
      </c>
      <c r="AC225" s="31"/>
      <c r="AD225" s="31"/>
      <c r="AE225" s="31"/>
      <c r="AF225" s="31"/>
      <c r="AG225" s="31"/>
      <c r="AH225" s="31"/>
      <c r="AI225" s="31"/>
      <c r="AJ225" s="31"/>
      <c r="AK225" s="31"/>
      <c r="AL225" s="31"/>
      <c r="AM225" s="31"/>
      <c r="AN225" s="31"/>
      <c r="AO225" s="31"/>
      <c r="AP225" s="31"/>
      <c r="AQ225" s="31"/>
      <c r="AR225" s="31"/>
      <c r="AS225" s="31"/>
      <c r="AT225" s="31"/>
      <c r="AU225" s="31"/>
    </row>
    <row r="226" spans="7:47" x14ac:dyDescent="0.25">
      <c r="G226" s="37">
        <f t="shared" si="9"/>
        <v>7</v>
      </c>
      <c r="H226" s="37" t="str">
        <f t="shared" si="11"/>
        <v>K224:K230</v>
      </c>
      <c r="I226" s="33" t="s">
        <v>171</v>
      </c>
      <c r="J226" s="42" t="s">
        <v>129</v>
      </c>
      <c r="K226" s="33" t="s">
        <v>17</v>
      </c>
      <c r="L226" s="42" t="s">
        <v>5</v>
      </c>
      <c r="M226" s="42" t="s">
        <v>307</v>
      </c>
      <c r="N226" s="43" t="str">
        <f t="shared" si="10"/>
        <v>target|fontFamily</v>
      </c>
      <c r="O226" s="31" t="s">
        <v>302</v>
      </c>
      <c r="P226" s="31" t="s">
        <v>302</v>
      </c>
      <c r="Q226" s="31" t="s">
        <v>302</v>
      </c>
      <c r="R226" s="31" t="s">
        <v>302</v>
      </c>
      <c r="S226" s="31" t="s">
        <v>302</v>
      </c>
      <c r="T226" s="31" t="s">
        <v>302</v>
      </c>
      <c r="U226" s="31" t="s">
        <v>302</v>
      </c>
      <c r="V226" s="31" t="s">
        <v>302</v>
      </c>
      <c r="W226" s="31" t="s">
        <v>302</v>
      </c>
      <c r="X226" s="31" t="s">
        <v>302</v>
      </c>
      <c r="Y226" s="31" t="s">
        <v>302</v>
      </c>
      <c r="Z226" s="31" t="s">
        <v>302</v>
      </c>
      <c r="AA226" s="31" t="s">
        <v>302</v>
      </c>
      <c r="AB226" s="31" t="s">
        <v>302</v>
      </c>
      <c r="AC226" s="31"/>
      <c r="AD226" s="31"/>
      <c r="AE226" s="31"/>
      <c r="AF226" s="31"/>
      <c r="AG226" s="31"/>
      <c r="AH226" s="31"/>
      <c r="AI226" s="31"/>
      <c r="AJ226" s="31"/>
      <c r="AK226" s="31"/>
      <c r="AL226" s="31"/>
      <c r="AM226" s="31"/>
      <c r="AN226" s="31"/>
      <c r="AO226" s="31"/>
      <c r="AP226" s="31"/>
      <c r="AQ226" s="31"/>
      <c r="AR226" s="31"/>
      <c r="AS226" s="31"/>
      <c r="AT226" s="31"/>
      <c r="AU226" s="31"/>
    </row>
    <row r="227" spans="7:47" x14ac:dyDescent="0.25">
      <c r="G227" s="37">
        <f t="shared" si="9"/>
        <v>7</v>
      </c>
      <c r="H227" s="37" t="str">
        <f t="shared" si="11"/>
        <v>K224:K230</v>
      </c>
      <c r="I227" s="33" t="s">
        <v>171</v>
      </c>
      <c r="J227" s="42" t="s">
        <v>129</v>
      </c>
      <c r="K227" s="33" t="s">
        <v>213</v>
      </c>
      <c r="L227" s="42" t="s">
        <v>54</v>
      </c>
      <c r="M227" s="42" t="s">
        <v>304</v>
      </c>
      <c r="N227" s="43" t="str">
        <f t="shared" si="10"/>
        <v>target|show</v>
      </c>
      <c r="O227" s="31" t="s">
        <v>302</v>
      </c>
      <c r="P227" s="31" t="s">
        <v>302</v>
      </c>
      <c r="Q227" s="31" t="s">
        <v>302</v>
      </c>
      <c r="R227" s="31" t="s">
        <v>302</v>
      </c>
      <c r="S227" s="31" t="s">
        <v>302</v>
      </c>
      <c r="T227" s="31" t="s">
        <v>302</v>
      </c>
      <c r="U227" s="31" t="s">
        <v>302</v>
      </c>
      <c r="V227" s="31" t="s">
        <v>302</v>
      </c>
      <c r="W227" s="31" t="s">
        <v>302</v>
      </c>
      <c r="X227" s="31" t="s">
        <v>302</v>
      </c>
      <c r="Y227" s="31" t="s">
        <v>302</v>
      </c>
      <c r="Z227" s="31" t="s">
        <v>302</v>
      </c>
      <c r="AA227" s="31" t="s">
        <v>302</v>
      </c>
      <c r="AB227" s="31" t="s">
        <v>302</v>
      </c>
      <c r="AC227" s="31"/>
      <c r="AD227" s="31"/>
      <c r="AE227" s="31"/>
      <c r="AF227" s="31"/>
      <c r="AG227" s="31"/>
      <c r="AH227" s="31"/>
      <c r="AI227" s="31"/>
      <c r="AJ227" s="31"/>
      <c r="AK227" s="31"/>
      <c r="AL227" s="31"/>
      <c r="AM227" s="31"/>
      <c r="AN227" s="31"/>
      <c r="AO227" s="31"/>
      <c r="AP227" s="31"/>
      <c r="AQ227" s="31"/>
      <c r="AR227" s="31"/>
      <c r="AS227" s="31"/>
      <c r="AT227" s="31"/>
      <c r="AU227" s="31"/>
    </row>
    <row r="228" spans="7:47" x14ac:dyDescent="0.25">
      <c r="G228" s="37">
        <f t="shared" si="9"/>
        <v>7</v>
      </c>
      <c r="H228" s="37" t="str">
        <f t="shared" si="11"/>
        <v>K224:K230</v>
      </c>
      <c r="I228" s="33" t="s">
        <v>171</v>
      </c>
      <c r="J228" s="42" t="s">
        <v>129</v>
      </c>
      <c r="K228" s="33" t="s">
        <v>171</v>
      </c>
      <c r="L228" s="42" t="s">
        <v>129</v>
      </c>
      <c r="M228" s="42" t="s">
        <v>310</v>
      </c>
      <c r="N228" s="43" t="str">
        <f t="shared" si="10"/>
        <v>target|target</v>
      </c>
      <c r="O228" s="31" t="s">
        <v>302</v>
      </c>
      <c r="P228" s="31" t="s">
        <v>302</v>
      </c>
      <c r="Q228" s="31" t="s">
        <v>302</v>
      </c>
      <c r="R228" s="31" t="s">
        <v>302</v>
      </c>
      <c r="S228" s="31" t="s">
        <v>302</v>
      </c>
      <c r="T228" s="31" t="s">
        <v>302</v>
      </c>
      <c r="U228" s="31" t="s">
        <v>302</v>
      </c>
      <c r="V228" s="31" t="s">
        <v>302</v>
      </c>
      <c r="W228" s="31" t="s">
        <v>302</v>
      </c>
      <c r="X228" s="31" t="s">
        <v>302</v>
      </c>
      <c r="Y228" s="31" t="s">
        <v>302</v>
      </c>
      <c r="Z228" s="31" t="s">
        <v>302</v>
      </c>
      <c r="AA228" s="31" t="s">
        <v>302</v>
      </c>
      <c r="AB228" s="31" t="s">
        <v>302</v>
      </c>
      <c r="AC228" s="31"/>
      <c r="AD228" s="31"/>
      <c r="AE228" s="31"/>
      <c r="AF228" s="31"/>
      <c r="AG228" s="31"/>
      <c r="AH228" s="31"/>
      <c r="AI228" s="31"/>
      <c r="AJ228" s="31"/>
      <c r="AK228" s="31"/>
      <c r="AL228" s="31"/>
      <c r="AM228" s="31"/>
      <c r="AN228" s="31"/>
      <c r="AO228" s="31"/>
      <c r="AP228" s="31"/>
      <c r="AQ228" s="31"/>
      <c r="AR228" s="31"/>
      <c r="AS228" s="31"/>
      <c r="AT228" s="31"/>
      <c r="AU228" s="31"/>
    </row>
    <row r="229" spans="7:47" x14ac:dyDescent="0.25">
      <c r="G229" s="37">
        <f t="shared" si="9"/>
        <v>7</v>
      </c>
      <c r="H229" s="37" t="str">
        <f t="shared" si="11"/>
        <v>K224:K230</v>
      </c>
      <c r="I229" s="33" t="s">
        <v>171</v>
      </c>
      <c r="J229" s="42" t="s">
        <v>129</v>
      </c>
      <c r="K229" s="33" t="s">
        <v>16</v>
      </c>
      <c r="L229" s="42" t="s">
        <v>4</v>
      </c>
      <c r="M229" s="42" t="s">
        <v>307</v>
      </c>
      <c r="N229" s="43" t="str">
        <f t="shared" si="10"/>
        <v>target|fontSize</v>
      </c>
      <c r="O229" s="31" t="s">
        <v>302</v>
      </c>
      <c r="P229" s="31" t="s">
        <v>302</v>
      </c>
      <c r="Q229" s="31" t="s">
        <v>302</v>
      </c>
      <c r="R229" s="31" t="s">
        <v>302</v>
      </c>
      <c r="S229" s="31" t="s">
        <v>302</v>
      </c>
      <c r="T229" s="31" t="s">
        <v>302</v>
      </c>
      <c r="U229" s="31" t="s">
        <v>302</v>
      </c>
      <c r="V229" s="31" t="s">
        <v>302</v>
      </c>
      <c r="W229" s="31" t="s">
        <v>302</v>
      </c>
      <c r="X229" s="31" t="s">
        <v>302</v>
      </c>
      <c r="Y229" s="31" t="s">
        <v>302</v>
      </c>
      <c r="Z229" s="31" t="s">
        <v>302</v>
      </c>
      <c r="AA229" s="31" t="s">
        <v>302</v>
      </c>
      <c r="AB229" s="31" t="s">
        <v>302</v>
      </c>
      <c r="AC229" s="31"/>
      <c r="AD229" s="31"/>
      <c r="AE229" s="31"/>
      <c r="AF229" s="31"/>
      <c r="AG229" s="31"/>
      <c r="AH229" s="31"/>
      <c r="AI229" s="31"/>
      <c r="AJ229" s="31"/>
      <c r="AK229" s="31"/>
      <c r="AL229" s="31"/>
      <c r="AM229" s="31"/>
      <c r="AN229" s="31"/>
      <c r="AO229" s="31"/>
      <c r="AP229" s="31"/>
      <c r="AQ229" s="31"/>
      <c r="AR229" s="31"/>
      <c r="AS229" s="31"/>
      <c r="AT229" s="31"/>
      <c r="AU229" s="31"/>
    </row>
    <row r="230" spans="7:47" x14ac:dyDescent="0.25">
      <c r="G230" s="37">
        <f t="shared" si="9"/>
        <v>7</v>
      </c>
      <c r="H230" s="37" t="str">
        <f t="shared" si="11"/>
        <v>K224:K230</v>
      </c>
      <c r="I230" s="33" t="s">
        <v>171</v>
      </c>
      <c r="J230" s="42" t="s">
        <v>129</v>
      </c>
      <c r="K230" s="33" t="s">
        <v>28</v>
      </c>
      <c r="L230" s="42" t="s">
        <v>312</v>
      </c>
      <c r="M230" s="42" t="s">
        <v>310</v>
      </c>
      <c r="N230" s="43" t="str">
        <f t="shared" si="10"/>
        <v>target|labelPrecision</v>
      </c>
      <c r="O230" s="31" t="s">
        <v>302</v>
      </c>
      <c r="P230" s="31" t="s">
        <v>302</v>
      </c>
      <c r="Q230" s="31" t="s">
        <v>302</v>
      </c>
      <c r="R230" s="31" t="s">
        <v>302</v>
      </c>
      <c r="S230" s="31" t="s">
        <v>302</v>
      </c>
      <c r="T230" s="31" t="s">
        <v>302</v>
      </c>
      <c r="U230" s="31" t="s">
        <v>302</v>
      </c>
      <c r="V230" s="31" t="s">
        <v>302</v>
      </c>
      <c r="W230" s="31" t="s">
        <v>302</v>
      </c>
      <c r="X230" s="31" t="s">
        <v>302</v>
      </c>
      <c r="Y230" s="31" t="s">
        <v>302</v>
      </c>
      <c r="Z230" s="31" t="s">
        <v>302</v>
      </c>
      <c r="AA230" s="31" t="s">
        <v>302</v>
      </c>
      <c r="AB230" s="31" t="s">
        <v>302</v>
      </c>
      <c r="AC230" s="31"/>
      <c r="AD230" s="31"/>
      <c r="AE230" s="31"/>
      <c r="AF230" s="31"/>
      <c r="AG230" s="31"/>
      <c r="AH230" s="31"/>
      <c r="AI230" s="31"/>
      <c r="AJ230" s="31"/>
      <c r="AK230" s="31"/>
      <c r="AL230" s="31"/>
      <c r="AM230" s="31"/>
      <c r="AN230" s="31"/>
      <c r="AO230" s="31"/>
      <c r="AP230" s="31"/>
      <c r="AQ230" s="31"/>
      <c r="AR230" s="31"/>
      <c r="AS230" s="31"/>
      <c r="AT230" s="31"/>
      <c r="AU230" s="31"/>
    </row>
    <row r="231" spans="7:47" x14ac:dyDescent="0.25">
      <c r="G231" s="37">
        <f t="shared" si="9"/>
        <v>2</v>
      </c>
      <c r="H231" s="37" t="str">
        <f t="shared" si="11"/>
        <v>K231:K232</v>
      </c>
      <c r="I231" s="33" t="s">
        <v>174</v>
      </c>
      <c r="J231" s="42" t="s">
        <v>132</v>
      </c>
      <c r="K231" s="33" t="s">
        <v>426</v>
      </c>
      <c r="L231" s="42" t="s">
        <v>425</v>
      </c>
      <c r="M231" s="42" t="s">
        <v>317</v>
      </c>
      <c r="N231" s="43" t="str">
        <f t="shared" si="10"/>
        <v>trendline|kpiFormat</v>
      </c>
      <c r="O231" s="31" t="s">
        <v>302</v>
      </c>
      <c r="P231" s="31" t="s">
        <v>302</v>
      </c>
      <c r="Q231" s="31" t="s">
        <v>302</v>
      </c>
      <c r="R231" s="31" t="s">
        <v>302</v>
      </c>
      <c r="S231" s="31" t="s">
        <v>302</v>
      </c>
      <c r="T231" s="31" t="s">
        <v>302</v>
      </c>
      <c r="U231" s="31" t="s">
        <v>302</v>
      </c>
      <c r="V231" s="31" t="s">
        <v>302</v>
      </c>
      <c r="W231" s="31" t="s">
        <v>302</v>
      </c>
      <c r="X231" s="31" t="s">
        <v>302</v>
      </c>
      <c r="Y231" s="31" t="s">
        <v>302</v>
      </c>
      <c r="Z231" s="31" t="s">
        <v>302</v>
      </c>
      <c r="AA231" s="31" t="s">
        <v>302</v>
      </c>
      <c r="AB231" s="31" t="s">
        <v>302</v>
      </c>
      <c r="AC231" s="31"/>
      <c r="AD231" s="31"/>
      <c r="AE231" s="31"/>
      <c r="AF231" s="31"/>
      <c r="AG231" s="31"/>
      <c r="AH231" s="31"/>
      <c r="AI231" s="31"/>
      <c r="AJ231" s="31"/>
      <c r="AK231" s="31"/>
      <c r="AL231" s="31"/>
      <c r="AM231" s="31"/>
      <c r="AN231" s="31"/>
      <c r="AO231" s="31"/>
      <c r="AP231" s="31"/>
      <c r="AQ231" s="31"/>
      <c r="AR231" s="31"/>
      <c r="AS231" s="31"/>
      <c r="AT231" s="31"/>
      <c r="AU231" s="31"/>
    </row>
    <row r="232" spans="7:47" x14ac:dyDescent="0.25">
      <c r="G232" s="37">
        <f t="shared" si="9"/>
        <v>2</v>
      </c>
      <c r="H232" s="37" t="str">
        <f t="shared" si="11"/>
        <v>K231:K232</v>
      </c>
      <c r="I232" s="33" t="s">
        <v>174</v>
      </c>
      <c r="J232" s="42" t="s">
        <v>132</v>
      </c>
      <c r="K232" s="33" t="s">
        <v>213</v>
      </c>
      <c r="L232" s="42" t="s">
        <v>54</v>
      </c>
      <c r="M232" s="42" t="s">
        <v>304</v>
      </c>
      <c r="N232" s="43" t="str">
        <f t="shared" si="10"/>
        <v>trendline|show</v>
      </c>
      <c r="O232" s="31" t="s">
        <v>302</v>
      </c>
      <c r="P232" s="31" t="s">
        <v>302</v>
      </c>
      <c r="Q232" s="31" t="s">
        <v>302</v>
      </c>
      <c r="R232" s="31" t="s">
        <v>302</v>
      </c>
      <c r="S232" s="31" t="s">
        <v>302</v>
      </c>
      <c r="T232" s="31" t="s">
        <v>302</v>
      </c>
      <c r="U232" s="31" t="s">
        <v>302</v>
      </c>
      <c r="V232" s="31" t="s">
        <v>302</v>
      </c>
      <c r="W232" s="31" t="s">
        <v>302</v>
      </c>
      <c r="X232" s="31" t="s">
        <v>302</v>
      </c>
      <c r="Y232" s="31" t="s">
        <v>302</v>
      </c>
      <c r="Z232" s="31" t="s">
        <v>302</v>
      </c>
      <c r="AA232" s="31" t="s">
        <v>302</v>
      </c>
      <c r="AB232" s="31" t="s">
        <v>302</v>
      </c>
      <c r="AC232" s="31"/>
      <c r="AD232" s="31"/>
      <c r="AE232" s="31"/>
      <c r="AF232" s="31"/>
      <c r="AG232" s="31"/>
      <c r="AH232" s="31"/>
      <c r="AI232" s="31"/>
      <c r="AJ232" s="31"/>
      <c r="AK232" s="31"/>
      <c r="AL232" s="31"/>
      <c r="AM232" s="31"/>
      <c r="AN232" s="31"/>
      <c r="AO232" s="31"/>
      <c r="AP232" s="31"/>
      <c r="AQ232" s="31"/>
      <c r="AR232" s="31"/>
      <c r="AS232" s="31"/>
      <c r="AT232" s="31"/>
      <c r="AU232" s="31"/>
    </row>
    <row r="233" spans="7:47" x14ac:dyDescent="0.25">
      <c r="G233" s="37">
        <f t="shared" si="9"/>
        <v>15</v>
      </c>
      <c r="H233" s="37" t="str">
        <f t="shared" si="11"/>
        <v>K233:K247</v>
      </c>
      <c r="I233" s="33" t="s">
        <v>173</v>
      </c>
      <c r="J233" s="42" t="s">
        <v>131</v>
      </c>
      <c r="K233" s="33" t="s">
        <v>15</v>
      </c>
      <c r="L233" s="42" t="s">
        <v>347</v>
      </c>
      <c r="M233" s="42" t="s">
        <v>104</v>
      </c>
      <c r="N233" s="43" t="str">
        <f t="shared" si="10"/>
        <v>trend|lineColor</v>
      </c>
      <c r="O233" s="31" t="s">
        <v>302</v>
      </c>
      <c r="P233" s="31" t="s">
        <v>302</v>
      </c>
      <c r="Q233" s="31" t="s">
        <v>302</v>
      </c>
      <c r="R233" s="31" t="s">
        <v>302</v>
      </c>
      <c r="S233" s="31" t="s">
        <v>302</v>
      </c>
      <c r="T233" s="31" t="s">
        <v>302</v>
      </c>
      <c r="U233" s="31" t="s">
        <v>302</v>
      </c>
      <c r="V233" s="31" t="s">
        <v>302</v>
      </c>
      <c r="W233" s="31" t="s">
        <v>302</v>
      </c>
      <c r="X233" s="31" t="s">
        <v>302</v>
      </c>
      <c r="Y233" s="31" t="s">
        <v>302</v>
      </c>
      <c r="Z233" s="31" t="s">
        <v>302</v>
      </c>
      <c r="AA233" s="31" t="s">
        <v>302</v>
      </c>
      <c r="AB233" s="31" t="s">
        <v>302</v>
      </c>
      <c r="AC233" s="31"/>
      <c r="AD233" s="31"/>
      <c r="AE233" s="31"/>
      <c r="AF233" s="31"/>
      <c r="AG233" s="31"/>
      <c r="AH233" s="31"/>
      <c r="AI233" s="31"/>
      <c r="AJ233" s="31"/>
      <c r="AK233" s="31"/>
      <c r="AL233" s="31"/>
      <c r="AM233" s="31"/>
      <c r="AN233" s="31"/>
      <c r="AO233" s="31"/>
      <c r="AP233" s="31"/>
      <c r="AQ233" s="31"/>
      <c r="AR233" s="31"/>
      <c r="AS233" s="31"/>
      <c r="AT233" s="31"/>
      <c r="AU233" s="31"/>
    </row>
    <row r="234" spans="7:47" x14ac:dyDescent="0.25">
      <c r="G234" s="37">
        <f t="shared" si="9"/>
        <v>15</v>
      </c>
      <c r="H234" s="37" t="str">
        <f t="shared" si="11"/>
        <v>K233:K247</v>
      </c>
      <c r="I234" s="33" t="s">
        <v>173</v>
      </c>
      <c r="J234" s="42" t="s">
        <v>131</v>
      </c>
      <c r="K234" s="33" t="s">
        <v>15</v>
      </c>
      <c r="L234" s="42" t="s">
        <v>350</v>
      </c>
      <c r="M234" s="42" t="s">
        <v>104</v>
      </c>
      <c r="N234" s="43" t="str">
        <f t="shared" si="10"/>
        <v>trend|dataLabelColor</v>
      </c>
      <c r="O234" s="31" t="s">
        <v>302</v>
      </c>
      <c r="P234" s="31" t="s">
        <v>302</v>
      </c>
      <c r="Q234" s="31" t="s">
        <v>302</v>
      </c>
      <c r="R234" s="31" t="s">
        <v>302</v>
      </c>
      <c r="S234" s="31" t="s">
        <v>302</v>
      </c>
      <c r="T234" s="31" t="s">
        <v>302</v>
      </c>
      <c r="U234" s="31" t="s">
        <v>302</v>
      </c>
      <c r="V234" s="31" t="s">
        <v>302</v>
      </c>
      <c r="W234" s="31" t="s">
        <v>302</v>
      </c>
      <c r="X234" s="31" t="s">
        <v>302</v>
      </c>
      <c r="Y234" s="31" t="s">
        <v>302</v>
      </c>
      <c r="Z234" s="31" t="s">
        <v>302</v>
      </c>
      <c r="AA234" s="31" t="s">
        <v>302</v>
      </c>
      <c r="AB234" s="31" t="s">
        <v>302</v>
      </c>
      <c r="AC234" s="31"/>
      <c r="AD234" s="31"/>
      <c r="AE234" s="31"/>
      <c r="AF234" s="31"/>
      <c r="AG234" s="31"/>
      <c r="AH234" s="31"/>
      <c r="AI234" s="31"/>
      <c r="AJ234" s="31"/>
      <c r="AK234" s="31"/>
      <c r="AL234" s="31"/>
      <c r="AM234" s="31"/>
      <c r="AN234" s="31"/>
      <c r="AO234" s="31"/>
      <c r="AP234" s="31"/>
      <c r="AQ234" s="31"/>
      <c r="AR234" s="31"/>
      <c r="AS234" s="31"/>
      <c r="AT234" s="31"/>
      <c r="AU234" s="31"/>
    </row>
    <row r="235" spans="7:47" x14ac:dyDescent="0.25">
      <c r="G235" s="37">
        <f t="shared" si="9"/>
        <v>15</v>
      </c>
      <c r="H235" s="37" t="str">
        <f t="shared" si="11"/>
        <v>K233:K247</v>
      </c>
      <c r="I235" s="33" t="s">
        <v>173</v>
      </c>
      <c r="J235" s="42" t="s">
        <v>131</v>
      </c>
      <c r="K235" s="33" t="s">
        <v>453</v>
      </c>
      <c r="L235" s="42" t="s">
        <v>348</v>
      </c>
      <c r="M235" s="42" t="s">
        <v>304</v>
      </c>
      <c r="N235" s="43" t="str">
        <f t="shared" si="10"/>
        <v>trend|combineSeries</v>
      </c>
      <c r="O235" s="31" t="s">
        <v>302</v>
      </c>
      <c r="P235" s="31" t="s">
        <v>302</v>
      </c>
      <c r="Q235" s="31" t="s">
        <v>302</v>
      </c>
      <c r="R235" s="31" t="s">
        <v>302</v>
      </c>
      <c r="S235" s="31" t="s">
        <v>302</v>
      </c>
      <c r="T235" s="31" t="s">
        <v>302</v>
      </c>
      <c r="U235" s="31" t="s">
        <v>302</v>
      </c>
      <c r="V235" s="31" t="s">
        <v>302</v>
      </c>
      <c r="W235" s="31" t="s">
        <v>302</v>
      </c>
      <c r="X235" s="31" t="s">
        <v>302</v>
      </c>
      <c r="Y235" s="31" t="s">
        <v>302</v>
      </c>
      <c r="Z235" s="31" t="s">
        <v>302</v>
      </c>
      <c r="AA235" s="31" t="s">
        <v>302</v>
      </c>
      <c r="AB235" s="31" t="s">
        <v>302</v>
      </c>
      <c r="AC235" s="31"/>
      <c r="AD235" s="31"/>
      <c r="AE235" s="31"/>
      <c r="AF235" s="31"/>
      <c r="AG235" s="31"/>
      <c r="AH235" s="31"/>
      <c r="AI235" s="31"/>
      <c r="AJ235" s="31"/>
      <c r="AK235" s="31"/>
      <c r="AL235" s="31"/>
      <c r="AM235" s="31"/>
      <c r="AN235" s="31"/>
      <c r="AO235" s="31"/>
      <c r="AP235" s="31"/>
      <c r="AQ235" s="31"/>
      <c r="AR235" s="31"/>
      <c r="AS235" s="31"/>
      <c r="AT235" s="31"/>
      <c r="AU235" s="31"/>
    </row>
    <row r="236" spans="7:47" x14ac:dyDescent="0.25">
      <c r="G236" s="37">
        <f t="shared" si="9"/>
        <v>15</v>
      </c>
      <c r="H236" s="37" t="str">
        <f t="shared" si="11"/>
        <v>K233:K247</v>
      </c>
      <c r="I236" s="33" t="s">
        <v>173</v>
      </c>
      <c r="J236" s="42" t="s">
        <v>131</v>
      </c>
      <c r="K236" s="33" t="s">
        <v>454</v>
      </c>
      <c r="L236" s="42" t="s">
        <v>349</v>
      </c>
      <c r="M236" s="42" t="s">
        <v>304</v>
      </c>
      <c r="N236" s="43" t="str">
        <f t="shared" si="10"/>
        <v>trend|dataLabelShow</v>
      </c>
      <c r="O236" s="31" t="s">
        <v>302</v>
      </c>
      <c r="P236" s="31" t="s">
        <v>302</v>
      </c>
      <c r="Q236" s="31" t="s">
        <v>302</v>
      </c>
      <c r="R236" s="31" t="s">
        <v>302</v>
      </c>
      <c r="S236" s="31" t="s">
        <v>302</v>
      </c>
      <c r="T236" s="31" t="s">
        <v>302</v>
      </c>
      <c r="U236" s="31" t="s">
        <v>302</v>
      </c>
      <c r="V236" s="31" t="s">
        <v>302</v>
      </c>
      <c r="W236" s="31" t="s">
        <v>302</v>
      </c>
      <c r="X236" s="31" t="s">
        <v>302</v>
      </c>
      <c r="Y236" s="31" t="s">
        <v>302</v>
      </c>
      <c r="Z236" s="31" t="s">
        <v>302</v>
      </c>
      <c r="AA236" s="31" t="s">
        <v>302</v>
      </c>
      <c r="AB236" s="31" t="s">
        <v>302</v>
      </c>
      <c r="AC236" s="31"/>
      <c r="AD236" s="31"/>
      <c r="AE236" s="31"/>
      <c r="AF236" s="31"/>
      <c r="AG236" s="31"/>
      <c r="AH236" s="31"/>
      <c r="AI236" s="31"/>
      <c r="AJ236" s="31"/>
      <c r="AK236" s="31"/>
      <c r="AL236" s="31"/>
      <c r="AM236" s="31"/>
      <c r="AN236" s="31"/>
      <c r="AO236" s="31"/>
      <c r="AP236" s="31"/>
      <c r="AQ236" s="31"/>
      <c r="AR236" s="31"/>
      <c r="AS236" s="31"/>
      <c r="AT236" s="31"/>
      <c r="AU236" s="31"/>
    </row>
    <row r="237" spans="7:47" x14ac:dyDescent="0.25">
      <c r="G237" s="37">
        <f t="shared" si="9"/>
        <v>15</v>
      </c>
      <c r="H237" s="37" t="str">
        <f t="shared" si="11"/>
        <v>K233:K247</v>
      </c>
      <c r="I237" s="33" t="s">
        <v>173</v>
      </c>
      <c r="J237" s="42" t="s">
        <v>131</v>
      </c>
      <c r="K237" s="33" t="s">
        <v>455</v>
      </c>
      <c r="L237" s="42" t="s">
        <v>351</v>
      </c>
      <c r="M237" s="42" t="s">
        <v>310</v>
      </c>
      <c r="N237" s="43" t="str">
        <f t="shared" si="10"/>
        <v>trend|dataLabelDecimalPoints</v>
      </c>
      <c r="O237" s="31" t="s">
        <v>302</v>
      </c>
      <c r="P237" s="31" t="s">
        <v>302</v>
      </c>
      <c r="Q237" s="31" t="s">
        <v>302</v>
      </c>
      <c r="R237" s="31" t="s">
        <v>302</v>
      </c>
      <c r="S237" s="31" t="s">
        <v>302</v>
      </c>
      <c r="T237" s="31" t="s">
        <v>302</v>
      </c>
      <c r="U237" s="31" t="s">
        <v>302</v>
      </c>
      <c r="V237" s="31" t="s">
        <v>302</v>
      </c>
      <c r="W237" s="31" t="s">
        <v>302</v>
      </c>
      <c r="X237" s="31" t="s">
        <v>302</v>
      </c>
      <c r="Y237" s="31" t="s">
        <v>302</v>
      </c>
      <c r="Z237" s="31" t="s">
        <v>302</v>
      </c>
      <c r="AA237" s="31" t="s">
        <v>302</v>
      </c>
      <c r="AB237" s="31" t="s">
        <v>302</v>
      </c>
      <c r="AC237" s="31"/>
      <c r="AD237" s="31"/>
      <c r="AE237" s="31"/>
      <c r="AF237" s="31"/>
      <c r="AG237" s="31"/>
      <c r="AH237" s="31"/>
      <c r="AI237" s="31"/>
      <c r="AJ237" s="31"/>
      <c r="AK237" s="31"/>
      <c r="AL237" s="31"/>
      <c r="AM237" s="31"/>
      <c r="AN237" s="31"/>
      <c r="AO237" s="31"/>
      <c r="AP237" s="31"/>
      <c r="AQ237" s="31"/>
      <c r="AR237" s="31"/>
      <c r="AS237" s="31"/>
      <c r="AT237" s="31"/>
      <c r="AU237" s="31"/>
    </row>
    <row r="238" spans="7:47" x14ac:dyDescent="0.25">
      <c r="G238" s="37">
        <f t="shared" si="9"/>
        <v>15</v>
      </c>
      <c r="H238" s="37" t="str">
        <f t="shared" si="11"/>
        <v>K233:K247</v>
      </c>
      <c r="I238" s="33" t="s">
        <v>173</v>
      </c>
      <c r="J238" s="42" t="s">
        <v>131</v>
      </c>
      <c r="K238" s="33" t="s">
        <v>27</v>
      </c>
      <c r="L238" s="42" t="s">
        <v>352</v>
      </c>
      <c r="M238" s="42" t="s">
        <v>307</v>
      </c>
      <c r="N238" s="43" t="str">
        <f t="shared" si="10"/>
        <v>trend|dataLabelDisplayUnits</v>
      </c>
      <c r="O238" s="31" t="s">
        <v>302</v>
      </c>
      <c r="P238" s="31" t="s">
        <v>302</v>
      </c>
      <c r="Q238" s="31" t="s">
        <v>302</v>
      </c>
      <c r="R238" s="31" t="s">
        <v>302</v>
      </c>
      <c r="S238" s="31" t="s">
        <v>302</v>
      </c>
      <c r="T238" s="31" t="s">
        <v>302</v>
      </c>
      <c r="U238" s="31" t="s">
        <v>302</v>
      </c>
      <c r="V238" s="31" t="s">
        <v>302</v>
      </c>
      <c r="W238" s="31" t="s">
        <v>302</v>
      </c>
      <c r="X238" s="31" t="s">
        <v>302</v>
      </c>
      <c r="Y238" s="31" t="s">
        <v>302</v>
      </c>
      <c r="Z238" s="31" t="s">
        <v>302</v>
      </c>
      <c r="AA238" s="31" t="s">
        <v>302</v>
      </c>
      <c r="AB238" s="31" t="s">
        <v>302</v>
      </c>
      <c r="AC238" s="31"/>
      <c r="AD238" s="31"/>
      <c r="AE238" s="31"/>
      <c r="AF238" s="31"/>
      <c r="AG238" s="31"/>
      <c r="AH238" s="31"/>
      <c r="AI238" s="31"/>
      <c r="AJ238" s="31"/>
      <c r="AK238" s="31"/>
      <c r="AL238" s="31"/>
      <c r="AM238" s="31"/>
      <c r="AN238" s="31"/>
      <c r="AO238" s="31"/>
      <c r="AP238" s="31"/>
      <c r="AQ238" s="31"/>
      <c r="AR238" s="31"/>
      <c r="AS238" s="31"/>
      <c r="AT238" s="31"/>
      <c r="AU238" s="31"/>
    </row>
    <row r="239" spans="7:47" x14ac:dyDescent="0.25">
      <c r="G239" s="37">
        <f t="shared" si="9"/>
        <v>15</v>
      </c>
      <c r="H239" s="37" t="str">
        <f t="shared" si="11"/>
        <v>K233:K247</v>
      </c>
      <c r="I239" s="33" t="s">
        <v>173</v>
      </c>
      <c r="J239" s="42" t="s">
        <v>131</v>
      </c>
      <c r="K239" s="33" t="s">
        <v>456</v>
      </c>
      <c r="L239" s="42" t="s">
        <v>216</v>
      </c>
      <c r="M239" s="42" t="s">
        <v>305</v>
      </c>
      <c r="N239" s="43" t="str">
        <f t="shared" si="10"/>
        <v>trend|dataLabelHorizontalPosition</v>
      </c>
      <c r="O239" s="31" t="s">
        <v>302</v>
      </c>
      <c r="P239" s="31" t="s">
        <v>302</v>
      </c>
      <c r="Q239" s="31" t="s">
        <v>302</v>
      </c>
      <c r="R239" s="31" t="s">
        <v>302</v>
      </c>
      <c r="S239" s="31" t="s">
        <v>302</v>
      </c>
      <c r="T239" s="31" t="s">
        <v>302</v>
      </c>
      <c r="U239" s="31" t="s">
        <v>302</v>
      </c>
      <c r="V239" s="31" t="s">
        <v>302</v>
      </c>
      <c r="W239" s="31" t="s">
        <v>302</v>
      </c>
      <c r="X239" s="31" t="s">
        <v>302</v>
      </c>
      <c r="Y239" s="31" t="s">
        <v>302</v>
      </c>
      <c r="Z239" s="31" t="s">
        <v>302</v>
      </c>
      <c r="AA239" s="31" t="s">
        <v>302</v>
      </c>
      <c r="AB239" s="31" t="s">
        <v>302</v>
      </c>
      <c r="AC239" s="31"/>
      <c r="AD239" s="31"/>
      <c r="AE239" s="31"/>
      <c r="AF239" s="31"/>
      <c r="AG239" s="31"/>
      <c r="AH239" s="31"/>
      <c r="AI239" s="31"/>
      <c r="AJ239" s="31"/>
      <c r="AK239" s="31"/>
      <c r="AL239" s="31"/>
      <c r="AM239" s="31"/>
      <c r="AN239" s="31"/>
      <c r="AO239" s="31"/>
      <c r="AP239" s="31"/>
      <c r="AQ239" s="31"/>
      <c r="AR239" s="31"/>
      <c r="AS239" s="31"/>
      <c r="AT239" s="31"/>
      <c r="AU239" s="31"/>
    </row>
    <row r="240" spans="7:47" x14ac:dyDescent="0.25">
      <c r="G240" s="37">
        <f t="shared" si="9"/>
        <v>15</v>
      </c>
      <c r="H240" s="37" t="str">
        <f t="shared" si="11"/>
        <v>K233:K247</v>
      </c>
      <c r="I240" s="33" t="s">
        <v>173</v>
      </c>
      <c r="J240" s="42" t="s">
        <v>131</v>
      </c>
      <c r="K240" s="33" t="s">
        <v>30</v>
      </c>
      <c r="L240" s="42" t="s">
        <v>231</v>
      </c>
      <c r="M240" s="42" t="s">
        <v>305</v>
      </c>
      <c r="N240" s="43" t="str">
        <f t="shared" si="10"/>
        <v>trend|style</v>
      </c>
      <c r="O240" s="31" t="s">
        <v>253</v>
      </c>
      <c r="P240" s="31" t="s">
        <v>254</v>
      </c>
      <c r="Q240" s="31" t="s">
        <v>255</v>
      </c>
      <c r="R240" s="31"/>
      <c r="S240" s="31"/>
      <c r="T240" s="31"/>
      <c r="U240" s="31"/>
      <c r="V240" s="31"/>
      <c r="W240" s="31"/>
      <c r="X240" s="31"/>
      <c r="Y240" s="31"/>
      <c r="Z240" s="31"/>
      <c r="AA240" s="31"/>
      <c r="AB240" s="31"/>
      <c r="AC240" s="31"/>
      <c r="AD240" s="31"/>
      <c r="AE240" s="31"/>
      <c r="AF240" s="31"/>
      <c r="AG240" s="31"/>
      <c r="AH240" s="31"/>
      <c r="AI240" s="31"/>
      <c r="AJ240" s="31"/>
      <c r="AK240" s="31"/>
      <c r="AL240" s="31"/>
      <c r="AM240" s="31"/>
      <c r="AN240" s="31"/>
      <c r="AO240" s="31"/>
      <c r="AP240" s="31"/>
      <c r="AQ240" s="31"/>
      <c r="AR240" s="31"/>
      <c r="AS240" s="31"/>
      <c r="AT240" s="31"/>
      <c r="AU240" s="31"/>
    </row>
    <row r="241" spans="7:47" x14ac:dyDescent="0.25">
      <c r="G241" s="37">
        <f t="shared" si="9"/>
        <v>15</v>
      </c>
      <c r="H241" s="37" t="str">
        <f t="shared" si="11"/>
        <v>K233:K247</v>
      </c>
      <c r="I241" s="33" t="s">
        <v>173</v>
      </c>
      <c r="J241" s="42" t="s">
        <v>131</v>
      </c>
      <c r="K241" s="33" t="s">
        <v>233</v>
      </c>
      <c r="L241" s="42" t="s">
        <v>222</v>
      </c>
      <c r="M241" s="42" t="s">
        <v>317</v>
      </c>
      <c r="N241" s="43" t="str">
        <f t="shared" si="10"/>
        <v>trend|displayName</v>
      </c>
      <c r="O241" s="31" t="s">
        <v>302</v>
      </c>
      <c r="P241" s="31" t="s">
        <v>302</v>
      </c>
      <c r="Q241" s="31" t="s">
        <v>302</v>
      </c>
      <c r="R241" s="31" t="s">
        <v>302</v>
      </c>
      <c r="S241" s="31" t="s">
        <v>302</v>
      </c>
      <c r="T241" s="31" t="s">
        <v>302</v>
      </c>
      <c r="U241" s="31" t="s">
        <v>302</v>
      </c>
      <c r="V241" s="31" t="s">
        <v>302</v>
      </c>
      <c r="W241" s="31" t="s">
        <v>302</v>
      </c>
      <c r="X241" s="31" t="s">
        <v>302</v>
      </c>
      <c r="Y241" s="31" t="s">
        <v>302</v>
      </c>
      <c r="Z241" s="31" t="s">
        <v>302</v>
      </c>
      <c r="AA241" s="31" t="s">
        <v>302</v>
      </c>
      <c r="AB241" s="31" t="s">
        <v>302</v>
      </c>
      <c r="AC241" s="31"/>
      <c r="AD241" s="31"/>
      <c r="AE241" s="31"/>
      <c r="AF241" s="31"/>
      <c r="AG241" s="31"/>
      <c r="AH241" s="31"/>
      <c r="AI241" s="31"/>
      <c r="AJ241" s="31"/>
      <c r="AK241" s="31"/>
      <c r="AL241" s="31"/>
      <c r="AM241" s="31"/>
      <c r="AN241" s="31"/>
      <c r="AO241" s="31"/>
      <c r="AP241" s="31"/>
      <c r="AQ241" s="31"/>
      <c r="AR241" s="31"/>
      <c r="AS241" s="31"/>
      <c r="AT241" s="31"/>
      <c r="AU241" s="31"/>
    </row>
    <row r="242" spans="7:47" x14ac:dyDescent="0.25">
      <c r="G242" s="37">
        <f t="shared" si="9"/>
        <v>15</v>
      </c>
      <c r="H242" s="37" t="str">
        <f t="shared" si="11"/>
        <v>K233:K247</v>
      </c>
      <c r="I242" s="33" t="s">
        <v>173</v>
      </c>
      <c r="J242" s="42" t="s">
        <v>131</v>
      </c>
      <c r="K242" s="33" t="s">
        <v>13</v>
      </c>
      <c r="L242" s="42" t="s">
        <v>52</v>
      </c>
      <c r="M242" s="42" t="s">
        <v>305</v>
      </c>
      <c r="N242" s="43" t="str">
        <f t="shared" si="10"/>
        <v>trend|position</v>
      </c>
      <c r="O242" s="31" t="s">
        <v>302</v>
      </c>
      <c r="P242" s="31" t="s">
        <v>302</v>
      </c>
      <c r="Q242" s="31" t="s">
        <v>302</v>
      </c>
      <c r="R242" s="31" t="s">
        <v>302</v>
      </c>
      <c r="S242" s="31" t="s">
        <v>302</v>
      </c>
      <c r="T242" s="31" t="s">
        <v>302</v>
      </c>
      <c r="U242" s="31" t="s">
        <v>302</v>
      </c>
      <c r="V242" s="31" t="s">
        <v>302</v>
      </c>
      <c r="W242" s="31" t="s">
        <v>302</v>
      </c>
      <c r="X242" s="31" t="s">
        <v>302</v>
      </c>
      <c r="Y242" s="31" t="s">
        <v>302</v>
      </c>
      <c r="Z242" s="31" t="s">
        <v>302</v>
      </c>
      <c r="AA242" s="31" t="s">
        <v>302</v>
      </c>
      <c r="AB242" s="31" t="s">
        <v>302</v>
      </c>
      <c r="AC242" s="31"/>
      <c r="AD242" s="31"/>
      <c r="AE242" s="31"/>
      <c r="AF242" s="31"/>
      <c r="AG242" s="31"/>
      <c r="AH242" s="31"/>
      <c r="AI242" s="31"/>
      <c r="AJ242" s="31"/>
      <c r="AK242" s="31"/>
      <c r="AL242" s="31"/>
      <c r="AM242" s="31"/>
      <c r="AN242" s="31"/>
      <c r="AO242" s="31"/>
      <c r="AP242" s="31"/>
      <c r="AQ242" s="31"/>
      <c r="AR242" s="31"/>
      <c r="AS242" s="31"/>
      <c r="AT242" s="31"/>
      <c r="AU242" s="31"/>
    </row>
    <row r="243" spans="7:47" x14ac:dyDescent="0.25">
      <c r="G243" s="37">
        <f t="shared" si="9"/>
        <v>15</v>
      </c>
      <c r="H243" s="37" t="str">
        <f t="shared" si="11"/>
        <v>K233:K247</v>
      </c>
      <c r="I243" s="33" t="s">
        <v>173</v>
      </c>
      <c r="J243" s="42" t="s">
        <v>131</v>
      </c>
      <c r="K243" s="33" t="s">
        <v>213</v>
      </c>
      <c r="L243" s="42" t="s">
        <v>54</v>
      </c>
      <c r="M243" s="42" t="s">
        <v>304</v>
      </c>
      <c r="N243" s="43" t="str">
        <f t="shared" si="10"/>
        <v>trend|show</v>
      </c>
      <c r="O243" s="31" t="s">
        <v>302</v>
      </c>
      <c r="P243" s="31" t="s">
        <v>302</v>
      </c>
      <c r="Q243" s="31" t="s">
        <v>302</v>
      </c>
      <c r="R243" s="31" t="s">
        <v>302</v>
      </c>
      <c r="S243" s="31" t="s">
        <v>302</v>
      </c>
      <c r="T243" s="31" t="s">
        <v>302</v>
      </c>
      <c r="U243" s="31" t="s">
        <v>302</v>
      </c>
      <c r="V243" s="31" t="s">
        <v>302</v>
      </c>
      <c r="W243" s="31" t="s">
        <v>302</v>
      </c>
      <c r="X243" s="31" t="s">
        <v>302</v>
      </c>
      <c r="Y243" s="31" t="s">
        <v>302</v>
      </c>
      <c r="Z243" s="31" t="s">
        <v>302</v>
      </c>
      <c r="AA243" s="31" t="s">
        <v>302</v>
      </c>
      <c r="AB243" s="31" t="s">
        <v>302</v>
      </c>
      <c r="AC243" s="31"/>
      <c r="AD243" s="31"/>
      <c r="AE243" s="31"/>
      <c r="AF243" s="31"/>
      <c r="AG243" s="31"/>
      <c r="AH243" s="31"/>
      <c r="AI243" s="31"/>
      <c r="AJ243" s="31"/>
      <c r="AK243" s="31"/>
      <c r="AL243" s="31"/>
      <c r="AM243" s="31"/>
      <c r="AN243" s="31"/>
      <c r="AO243" s="31"/>
      <c r="AP243" s="31"/>
      <c r="AQ243" s="31"/>
      <c r="AR243" s="31"/>
      <c r="AS243" s="31"/>
      <c r="AT243" s="31"/>
      <c r="AU243" s="31"/>
    </row>
    <row r="244" spans="7:47" x14ac:dyDescent="0.25">
      <c r="G244" s="37">
        <f t="shared" si="9"/>
        <v>15</v>
      </c>
      <c r="H244" s="37" t="str">
        <f t="shared" si="11"/>
        <v>K233:K247</v>
      </c>
      <c r="I244" s="33" t="s">
        <v>173</v>
      </c>
      <c r="J244" s="42" t="s">
        <v>131</v>
      </c>
      <c r="K244" s="33" t="s">
        <v>20</v>
      </c>
      <c r="L244" s="42" t="s">
        <v>231</v>
      </c>
      <c r="M244" s="42" t="s">
        <v>305</v>
      </c>
      <c r="N244" s="43" t="str">
        <f t="shared" si="10"/>
        <v>trend|style</v>
      </c>
      <c r="O244" s="31" t="s">
        <v>253</v>
      </c>
      <c r="P244" s="31" t="s">
        <v>254</v>
      </c>
      <c r="Q244" s="31" t="s">
        <v>255</v>
      </c>
      <c r="R244" s="31"/>
      <c r="S244" s="31"/>
      <c r="T244" s="31"/>
      <c r="U244" s="31"/>
      <c r="V244" s="31"/>
      <c r="W244" s="31"/>
      <c r="X244" s="31"/>
      <c r="Y244" s="31"/>
      <c r="Z244" s="31"/>
      <c r="AA244" s="31"/>
      <c r="AB244" s="31"/>
      <c r="AC244" s="31"/>
      <c r="AD244" s="31"/>
      <c r="AE244" s="31"/>
      <c r="AF244" s="31"/>
      <c r="AG244" s="31"/>
      <c r="AH244" s="31"/>
      <c r="AI244" s="31"/>
      <c r="AJ244" s="31"/>
      <c r="AK244" s="31"/>
      <c r="AL244" s="31"/>
      <c r="AM244" s="31"/>
      <c r="AN244" s="31"/>
      <c r="AO244" s="31"/>
      <c r="AP244" s="31"/>
      <c r="AQ244" s="31"/>
      <c r="AR244" s="31"/>
      <c r="AS244" s="31"/>
      <c r="AT244" s="31"/>
      <c r="AU244" s="31"/>
    </row>
    <row r="245" spans="7:47" x14ac:dyDescent="0.25">
      <c r="G245" s="37">
        <f t="shared" si="9"/>
        <v>15</v>
      </c>
      <c r="H245" s="37" t="str">
        <f t="shared" si="11"/>
        <v>K233:K247</v>
      </c>
      <c r="I245" s="33" t="s">
        <v>173</v>
      </c>
      <c r="J245" s="42" t="s">
        <v>131</v>
      </c>
      <c r="K245" s="33" t="s">
        <v>32</v>
      </c>
      <c r="L245" s="42" t="s">
        <v>208</v>
      </c>
      <c r="M245" s="42" t="s">
        <v>310</v>
      </c>
      <c r="N245" s="43" t="str">
        <f t="shared" si="10"/>
        <v>trend|transparency</v>
      </c>
      <c r="O245" s="31" t="s">
        <v>302</v>
      </c>
      <c r="P245" s="31" t="s">
        <v>302</v>
      </c>
      <c r="Q245" s="31" t="s">
        <v>302</v>
      </c>
      <c r="R245" s="31" t="s">
        <v>302</v>
      </c>
      <c r="S245" s="31" t="s">
        <v>302</v>
      </c>
      <c r="T245" s="31" t="s">
        <v>302</v>
      </c>
      <c r="U245" s="31" t="s">
        <v>302</v>
      </c>
      <c r="V245" s="31" t="s">
        <v>302</v>
      </c>
      <c r="W245" s="31" t="s">
        <v>302</v>
      </c>
      <c r="X245" s="31" t="s">
        <v>302</v>
      </c>
      <c r="Y245" s="31" t="s">
        <v>302</v>
      </c>
      <c r="Z245" s="31" t="s">
        <v>302</v>
      </c>
      <c r="AA245" s="31" t="s">
        <v>302</v>
      </c>
      <c r="AB245" s="31" t="s">
        <v>302</v>
      </c>
      <c r="AC245" s="31"/>
      <c r="AD245" s="31"/>
      <c r="AE245" s="31"/>
      <c r="AF245" s="31"/>
      <c r="AG245" s="31"/>
      <c r="AH245" s="31"/>
      <c r="AI245" s="31"/>
      <c r="AJ245" s="31"/>
      <c r="AK245" s="31"/>
      <c r="AL245" s="31"/>
      <c r="AM245" s="31"/>
      <c r="AN245" s="31"/>
      <c r="AO245" s="31"/>
      <c r="AP245" s="31"/>
      <c r="AQ245" s="31"/>
      <c r="AR245" s="31"/>
      <c r="AS245" s="31"/>
      <c r="AT245" s="31"/>
      <c r="AU245" s="31"/>
    </row>
    <row r="246" spans="7:47" x14ac:dyDescent="0.25">
      <c r="G246" s="37">
        <f t="shared" si="9"/>
        <v>15</v>
      </c>
      <c r="H246" s="37" t="str">
        <f t="shared" si="11"/>
        <v>K233:K247</v>
      </c>
      <c r="I246" s="33" t="s">
        <v>173</v>
      </c>
      <c r="J246" s="42" t="s">
        <v>131</v>
      </c>
      <c r="K246" s="33" t="s">
        <v>232</v>
      </c>
      <c r="L246" s="42" t="s">
        <v>221</v>
      </c>
      <c r="M246" s="42" t="s">
        <v>310</v>
      </c>
      <c r="N246" s="43" t="str">
        <f t="shared" si="10"/>
        <v>trend|value</v>
      </c>
      <c r="O246" s="31" t="s">
        <v>302</v>
      </c>
      <c r="P246" s="31" t="s">
        <v>302</v>
      </c>
      <c r="Q246" s="31" t="s">
        <v>302</v>
      </c>
      <c r="R246" s="31" t="s">
        <v>302</v>
      </c>
      <c r="S246" s="31" t="s">
        <v>302</v>
      </c>
      <c r="T246" s="31" t="s">
        <v>302</v>
      </c>
      <c r="U246" s="31" t="s">
        <v>302</v>
      </c>
      <c r="V246" s="31" t="s">
        <v>302</v>
      </c>
      <c r="W246" s="31" t="s">
        <v>302</v>
      </c>
      <c r="X246" s="31" t="s">
        <v>302</v>
      </c>
      <c r="Y246" s="31" t="s">
        <v>302</v>
      </c>
      <c r="Z246" s="31" t="s">
        <v>302</v>
      </c>
      <c r="AA246" s="31" t="s">
        <v>302</v>
      </c>
      <c r="AB246" s="31" t="s">
        <v>302</v>
      </c>
      <c r="AC246" s="31"/>
      <c r="AD246" s="31"/>
      <c r="AE246" s="31"/>
      <c r="AF246" s="31"/>
      <c r="AG246" s="31"/>
      <c r="AH246" s="31"/>
      <c r="AI246" s="31"/>
      <c r="AJ246" s="31"/>
      <c r="AK246" s="31"/>
      <c r="AL246" s="31"/>
      <c r="AM246" s="31"/>
      <c r="AN246" s="31"/>
      <c r="AO246" s="31"/>
      <c r="AP246" s="31"/>
      <c r="AQ246" s="31"/>
      <c r="AR246" s="31"/>
      <c r="AS246" s="31"/>
      <c r="AT246" s="31"/>
      <c r="AU246" s="31"/>
    </row>
    <row r="247" spans="7:47" x14ac:dyDescent="0.25">
      <c r="G247" s="37">
        <f t="shared" si="9"/>
        <v>15</v>
      </c>
      <c r="H247" s="37" t="str">
        <f t="shared" si="11"/>
        <v>K233:K247</v>
      </c>
      <c r="I247" s="33" t="s">
        <v>173</v>
      </c>
      <c r="J247" s="42" t="s">
        <v>131</v>
      </c>
      <c r="K247" s="33" t="s">
        <v>457</v>
      </c>
      <c r="L247" s="42" t="s">
        <v>217</v>
      </c>
      <c r="M247" s="42" t="s">
        <v>305</v>
      </c>
      <c r="N247" s="43" t="str">
        <f t="shared" si="10"/>
        <v>trend|dataLabelVerticalPosition</v>
      </c>
      <c r="O247" s="31" t="s">
        <v>302</v>
      </c>
      <c r="P247" s="31" t="s">
        <v>302</v>
      </c>
      <c r="Q247" s="31" t="s">
        <v>302</v>
      </c>
      <c r="R247" s="31" t="s">
        <v>302</v>
      </c>
      <c r="S247" s="31" t="s">
        <v>302</v>
      </c>
      <c r="T247" s="31" t="s">
        <v>302</v>
      </c>
      <c r="U247" s="31" t="s">
        <v>302</v>
      </c>
      <c r="V247" s="31" t="s">
        <v>302</v>
      </c>
      <c r="W247" s="31" t="s">
        <v>302</v>
      </c>
      <c r="X247" s="31" t="s">
        <v>302</v>
      </c>
      <c r="Y247" s="31" t="s">
        <v>302</v>
      </c>
      <c r="Z247" s="31" t="s">
        <v>302</v>
      </c>
      <c r="AA247" s="31" t="s">
        <v>302</v>
      </c>
      <c r="AB247" s="31" t="s">
        <v>302</v>
      </c>
      <c r="AC247" s="31"/>
      <c r="AD247" s="31"/>
      <c r="AE247" s="31"/>
      <c r="AF247" s="31"/>
      <c r="AG247" s="31"/>
      <c r="AH247" s="31"/>
      <c r="AI247" s="31"/>
      <c r="AJ247" s="31"/>
      <c r="AK247" s="31"/>
      <c r="AL247" s="31"/>
      <c r="AM247" s="31"/>
      <c r="AN247" s="31"/>
      <c r="AO247" s="31"/>
      <c r="AP247" s="31"/>
      <c r="AQ247" s="31"/>
      <c r="AR247" s="31"/>
      <c r="AS247" s="31"/>
      <c r="AT247" s="31"/>
      <c r="AU247" s="31"/>
    </row>
    <row r="248" spans="7:47" x14ac:dyDescent="0.25">
      <c r="G248" s="37">
        <f t="shared" si="9"/>
        <v>12</v>
      </c>
      <c r="H248" s="37" t="str">
        <f t="shared" si="11"/>
        <v>K248:K259</v>
      </c>
      <c r="I248" s="33" t="s">
        <v>175</v>
      </c>
      <c r="J248" s="42" t="s">
        <v>134</v>
      </c>
      <c r="K248" s="33" t="s">
        <v>484</v>
      </c>
      <c r="L248" s="42" t="s">
        <v>395</v>
      </c>
      <c r="M248" s="42" t="s">
        <v>104</v>
      </c>
      <c r="N248" s="43" t="str">
        <f t="shared" si="10"/>
        <v>values|backColorSecondary</v>
      </c>
      <c r="O248" s="31" t="s">
        <v>302</v>
      </c>
      <c r="P248" s="31" t="s">
        <v>302</v>
      </c>
      <c r="Q248" s="31" t="s">
        <v>302</v>
      </c>
      <c r="R248" s="31" t="s">
        <v>302</v>
      </c>
      <c r="S248" s="31" t="s">
        <v>302</v>
      </c>
      <c r="T248" s="31" t="s">
        <v>302</v>
      </c>
      <c r="U248" s="31" t="s">
        <v>302</v>
      </c>
      <c r="V248" s="31" t="s">
        <v>302</v>
      </c>
      <c r="W248" s="31" t="s">
        <v>302</v>
      </c>
      <c r="X248" s="31" t="s">
        <v>302</v>
      </c>
      <c r="Y248" s="31" t="s">
        <v>302</v>
      </c>
      <c r="Z248" s="31" t="s">
        <v>302</v>
      </c>
      <c r="AA248" s="31" t="s">
        <v>302</v>
      </c>
      <c r="AB248" s="31" t="s">
        <v>302</v>
      </c>
      <c r="AC248" s="31"/>
      <c r="AD248" s="31"/>
      <c r="AE248" s="31"/>
      <c r="AF248" s="31"/>
      <c r="AG248" s="31"/>
      <c r="AH248" s="31"/>
      <c r="AI248" s="31"/>
      <c r="AJ248" s="31"/>
      <c r="AK248" s="31"/>
      <c r="AL248" s="31"/>
      <c r="AM248" s="31"/>
      <c r="AN248" s="31"/>
      <c r="AO248" s="31"/>
      <c r="AP248" s="31"/>
      <c r="AQ248" s="31"/>
      <c r="AR248" s="31"/>
      <c r="AS248" s="31"/>
      <c r="AT248" s="31"/>
      <c r="AU248" s="31"/>
    </row>
    <row r="249" spans="7:47" x14ac:dyDescent="0.25">
      <c r="G249" s="37">
        <f t="shared" si="9"/>
        <v>12</v>
      </c>
      <c r="H249" s="37" t="str">
        <f t="shared" si="11"/>
        <v>K248:K259</v>
      </c>
      <c r="I249" s="33" t="s">
        <v>175</v>
      </c>
      <c r="J249" s="42" t="s">
        <v>134</v>
      </c>
      <c r="K249" s="33" t="s">
        <v>483</v>
      </c>
      <c r="L249" s="42" t="s">
        <v>394</v>
      </c>
      <c r="M249" s="42" t="s">
        <v>104</v>
      </c>
      <c r="N249" s="43" t="str">
        <f t="shared" si="10"/>
        <v>values|fontColorSecondary</v>
      </c>
      <c r="O249" s="31" t="s">
        <v>302</v>
      </c>
      <c r="P249" s="31" t="s">
        <v>302</v>
      </c>
      <c r="Q249" s="31" t="s">
        <v>302</v>
      </c>
      <c r="R249" s="31" t="s">
        <v>302</v>
      </c>
      <c r="S249" s="31" t="s">
        <v>302</v>
      </c>
      <c r="T249" s="31" t="s">
        <v>302</v>
      </c>
      <c r="U249" s="31" t="s">
        <v>302</v>
      </c>
      <c r="V249" s="31" t="s">
        <v>302</v>
      </c>
      <c r="W249" s="31" t="s">
        <v>302</v>
      </c>
      <c r="X249" s="31" t="s">
        <v>302</v>
      </c>
      <c r="Y249" s="31" t="s">
        <v>302</v>
      </c>
      <c r="Z249" s="31" t="s">
        <v>302</v>
      </c>
      <c r="AA249" s="31" t="s">
        <v>302</v>
      </c>
      <c r="AB249" s="31" t="s">
        <v>302</v>
      </c>
      <c r="AC249" s="31"/>
      <c r="AD249" s="31"/>
      <c r="AE249" s="31"/>
      <c r="AF249" s="31"/>
      <c r="AG249" s="31"/>
      <c r="AH249" s="31"/>
      <c r="AI249" s="31"/>
      <c r="AJ249" s="31"/>
      <c r="AK249" s="31"/>
      <c r="AL249" s="31"/>
      <c r="AM249" s="31"/>
      <c r="AN249" s="31"/>
      <c r="AO249" s="31"/>
      <c r="AP249" s="31"/>
      <c r="AQ249" s="31"/>
      <c r="AR249" s="31"/>
      <c r="AS249" s="31"/>
      <c r="AT249" s="31"/>
      <c r="AU249" s="31"/>
    </row>
    <row r="250" spans="7:47" x14ac:dyDescent="0.25">
      <c r="G250" s="37">
        <f t="shared" si="9"/>
        <v>12</v>
      </c>
      <c r="H250" s="37" t="str">
        <f t="shared" si="11"/>
        <v>K248:K259</v>
      </c>
      <c r="I250" s="33" t="s">
        <v>175</v>
      </c>
      <c r="J250" s="42" t="s">
        <v>134</v>
      </c>
      <c r="K250" s="33" t="s">
        <v>34</v>
      </c>
      <c r="L250" s="42" t="s">
        <v>393</v>
      </c>
      <c r="M250" s="42" t="s">
        <v>104</v>
      </c>
      <c r="N250" s="43" t="str">
        <f t="shared" si="10"/>
        <v>values|backColorPrimary</v>
      </c>
      <c r="O250" s="31" t="s">
        <v>302</v>
      </c>
      <c r="P250" s="31" t="s">
        <v>302</v>
      </c>
      <c r="Q250" s="31" t="s">
        <v>302</v>
      </c>
      <c r="R250" s="31" t="s">
        <v>302</v>
      </c>
      <c r="S250" s="31" t="s">
        <v>302</v>
      </c>
      <c r="T250" s="31" t="s">
        <v>302</v>
      </c>
      <c r="U250" s="31" t="s">
        <v>302</v>
      </c>
      <c r="V250" s="31" t="s">
        <v>302</v>
      </c>
      <c r="W250" s="31" t="s">
        <v>302</v>
      </c>
      <c r="X250" s="31" t="s">
        <v>302</v>
      </c>
      <c r="Y250" s="31" t="s">
        <v>302</v>
      </c>
      <c r="Z250" s="31" t="s">
        <v>302</v>
      </c>
      <c r="AA250" s="31" t="s">
        <v>302</v>
      </c>
      <c r="AB250" s="31" t="s">
        <v>302</v>
      </c>
      <c r="AC250" s="31"/>
      <c r="AD250" s="31"/>
      <c r="AE250" s="31"/>
      <c r="AF250" s="31"/>
      <c r="AG250" s="31"/>
      <c r="AH250" s="31"/>
      <c r="AI250" s="31"/>
      <c r="AJ250" s="31"/>
      <c r="AK250" s="31"/>
      <c r="AL250" s="31"/>
      <c r="AM250" s="31"/>
      <c r="AN250" s="31"/>
      <c r="AO250" s="31"/>
      <c r="AP250" s="31"/>
      <c r="AQ250" s="31"/>
      <c r="AR250" s="31"/>
      <c r="AS250" s="31"/>
      <c r="AT250" s="31"/>
      <c r="AU250" s="31"/>
    </row>
    <row r="251" spans="7:47" x14ac:dyDescent="0.25">
      <c r="G251" s="37">
        <f t="shared" si="9"/>
        <v>12</v>
      </c>
      <c r="H251" s="37" t="str">
        <f t="shared" si="11"/>
        <v>K248:K259</v>
      </c>
      <c r="I251" s="33" t="s">
        <v>175</v>
      </c>
      <c r="J251" s="42" t="s">
        <v>134</v>
      </c>
      <c r="K251" s="33" t="s">
        <v>485</v>
      </c>
      <c r="L251" s="42" t="s">
        <v>396</v>
      </c>
      <c r="M251" s="42" t="s">
        <v>304</v>
      </c>
      <c r="N251" s="43" t="str">
        <f t="shared" si="10"/>
        <v>values|bandedRowHeaders</v>
      </c>
      <c r="O251" s="31" t="s">
        <v>302</v>
      </c>
      <c r="P251" s="31" t="s">
        <v>302</v>
      </c>
      <c r="Q251" s="31" t="s">
        <v>302</v>
      </c>
      <c r="R251" s="31" t="s">
        <v>302</v>
      </c>
      <c r="S251" s="31" t="s">
        <v>302</v>
      </c>
      <c r="T251" s="31" t="s">
        <v>302</v>
      </c>
      <c r="U251" s="31" t="s">
        <v>302</v>
      </c>
      <c r="V251" s="31" t="s">
        <v>302</v>
      </c>
      <c r="W251" s="31" t="s">
        <v>302</v>
      </c>
      <c r="X251" s="31" t="s">
        <v>302</v>
      </c>
      <c r="Y251" s="31" t="s">
        <v>302</v>
      </c>
      <c r="Z251" s="31" t="s">
        <v>302</v>
      </c>
      <c r="AA251" s="31" t="s">
        <v>302</v>
      </c>
      <c r="AB251" s="31" t="s">
        <v>302</v>
      </c>
      <c r="AC251" s="31"/>
      <c r="AD251" s="31"/>
      <c r="AE251" s="31"/>
      <c r="AF251" s="31"/>
      <c r="AG251" s="31"/>
      <c r="AH251" s="31"/>
      <c r="AI251" s="31"/>
      <c r="AJ251" s="31"/>
      <c r="AK251" s="31"/>
      <c r="AL251" s="31"/>
      <c r="AM251" s="31"/>
      <c r="AN251" s="31"/>
      <c r="AO251" s="31"/>
      <c r="AP251" s="31"/>
      <c r="AQ251" s="31"/>
      <c r="AR251" s="31"/>
      <c r="AS251" s="31"/>
      <c r="AT251" s="31"/>
      <c r="AU251" s="31"/>
    </row>
    <row r="252" spans="7:47" x14ac:dyDescent="0.25">
      <c r="G252" s="37">
        <f t="shared" si="9"/>
        <v>12</v>
      </c>
      <c r="H252" s="37" t="str">
        <f t="shared" si="11"/>
        <v>K248:K259</v>
      </c>
      <c r="I252" s="33" t="s">
        <v>175</v>
      </c>
      <c r="J252" s="42" t="s">
        <v>134</v>
      </c>
      <c r="K252" s="33" t="s">
        <v>482</v>
      </c>
      <c r="L252" s="42" t="s">
        <v>389</v>
      </c>
      <c r="M252" s="42" t="s">
        <v>104</v>
      </c>
      <c r="N252" s="43" t="str">
        <f t="shared" si="10"/>
        <v>values|backColor</v>
      </c>
      <c r="O252" s="31" t="s">
        <v>302</v>
      </c>
      <c r="P252" s="31" t="s">
        <v>302</v>
      </c>
      <c r="Q252" s="31" t="s">
        <v>302</v>
      </c>
      <c r="R252" s="31" t="s">
        <v>302</v>
      </c>
      <c r="S252" s="31" t="s">
        <v>302</v>
      </c>
      <c r="T252" s="31" t="s">
        <v>302</v>
      </c>
      <c r="U252" s="31" t="s">
        <v>302</v>
      </c>
      <c r="V252" s="31" t="s">
        <v>302</v>
      </c>
      <c r="W252" s="31" t="s">
        <v>302</v>
      </c>
      <c r="X252" s="31" t="s">
        <v>302</v>
      </c>
      <c r="Y252" s="31" t="s">
        <v>302</v>
      </c>
      <c r="Z252" s="31" t="s">
        <v>302</v>
      </c>
      <c r="AA252" s="31" t="s">
        <v>302</v>
      </c>
      <c r="AB252" s="31" t="s">
        <v>302</v>
      </c>
      <c r="AC252" s="31"/>
      <c r="AD252" s="31"/>
      <c r="AE252" s="31"/>
      <c r="AF252" s="31"/>
      <c r="AG252" s="31"/>
      <c r="AH252" s="31"/>
      <c r="AI252" s="31"/>
      <c r="AJ252" s="31"/>
      <c r="AK252" s="31"/>
      <c r="AL252" s="31"/>
      <c r="AM252" s="31"/>
      <c r="AN252" s="31"/>
      <c r="AO252" s="31"/>
      <c r="AP252" s="31"/>
      <c r="AQ252" s="31"/>
      <c r="AR252" s="31"/>
      <c r="AS252" s="31"/>
      <c r="AT252" s="31"/>
      <c r="AU252" s="31"/>
    </row>
    <row r="253" spans="7:47" x14ac:dyDescent="0.25">
      <c r="G253" s="37">
        <f t="shared" si="9"/>
        <v>12</v>
      </c>
      <c r="H253" s="37" t="str">
        <f t="shared" si="11"/>
        <v>K248:K259</v>
      </c>
      <c r="I253" s="33" t="s">
        <v>175</v>
      </c>
      <c r="J253" s="42" t="s">
        <v>134</v>
      </c>
      <c r="K253" s="33" t="s">
        <v>33</v>
      </c>
      <c r="L253" s="42" t="s">
        <v>392</v>
      </c>
      <c r="M253" s="42" t="s">
        <v>104</v>
      </c>
      <c r="N253" s="43" t="str">
        <f t="shared" si="10"/>
        <v>values|fontColorPrimary</v>
      </c>
      <c r="O253" s="31" t="s">
        <v>302</v>
      </c>
      <c r="P253" s="31" t="s">
        <v>302</v>
      </c>
      <c r="Q253" s="31" t="s">
        <v>302</v>
      </c>
      <c r="R253" s="31" t="s">
        <v>302</v>
      </c>
      <c r="S253" s="31" t="s">
        <v>302</v>
      </c>
      <c r="T253" s="31" t="s">
        <v>302</v>
      </c>
      <c r="U253" s="31" t="s">
        <v>302</v>
      </c>
      <c r="V253" s="31" t="s">
        <v>302</v>
      </c>
      <c r="W253" s="31" t="s">
        <v>302</v>
      </c>
      <c r="X253" s="31" t="s">
        <v>302</v>
      </c>
      <c r="Y253" s="31" t="s">
        <v>302</v>
      </c>
      <c r="Z253" s="31" t="s">
        <v>302</v>
      </c>
      <c r="AA253" s="31" t="s">
        <v>302</v>
      </c>
      <c r="AB253" s="31" t="s">
        <v>302</v>
      </c>
      <c r="AC253" s="31"/>
      <c r="AD253" s="31"/>
      <c r="AE253" s="31"/>
      <c r="AF253" s="31"/>
      <c r="AG253" s="31"/>
      <c r="AH253" s="31"/>
      <c r="AI253" s="31"/>
      <c r="AJ253" s="31"/>
      <c r="AK253" s="31"/>
      <c r="AL253" s="31"/>
      <c r="AM253" s="31"/>
      <c r="AN253" s="31"/>
      <c r="AO253" s="31"/>
      <c r="AP253" s="31"/>
      <c r="AQ253" s="31"/>
      <c r="AR253" s="31"/>
      <c r="AS253" s="31"/>
      <c r="AT253" s="31"/>
      <c r="AU253" s="31"/>
    </row>
    <row r="254" spans="7:47" x14ac:dyDescent="0.25">
      <c r="G254" s="37">
        <f t="shared" si="9"/>
        <v>12</v>
      </c>
      <c r="H254" s="37" t="str">
        <f t="shared" si="11"/>
        <v>K248:K259</v>
      </c>
      <c r="I254" s="33" t="s">
        <v>175</v>
      </c>
      <c r="J254" s="42" t="s">
        <v>134</v>
      </c>
      <c r="K254" s="33" t="s">
        <v>17</v>
      </c>
      <c r="L254" s="42" t="s">
        <v>5</v>
      </c>
      <c r="M254" s="42" t="s">
        <v>307</v>
      </c>
      <c r="N254" s="43" t="str">
        <f t="shared" si="10"/>
        <v>values|fontFamily</v>
      </c>
      <c r="O254" s="31" t="s">
        <v>302</v>
      </c>
      <c r="P254" s="31" t="s">
        <v>302</v>
      </c>
      <c r="Q254" s="31" t="s">
        <v>302</v>
      </c>
      <c r="R254" s="31" t="s">
        <v>302</v>
      </c>
      <c r="S254" s="31" t="s">
        <v>302</v>
      </c>
      <c r="T254" s="31" t="s">
        <v>302</v>
      </c>
      <c r="U254" s="31" t="s">
        <v>302</v>
      </c>
      <c r="V254" s="31" t="s">
        <v>302</v>
      </c>
      <c r="W254" s="31" t="s">
        <v>302</v>
      </c>
      <c r="X254" s="31" t="s">
        <v>302</v>
      </c>
      <c r="Y254" s="31" t="s">
        <v>302</v>
      </c>
      <c r="Z254" s="31" t="s">
        <v>302</v>
      </c>
      <c r="AA254" s="31" t="s">
        <v>302</v>
      </c>
      <c r="AB254" s="31" t="s">
        <v>302</v>
      </c>
      <c r="AC254" s="31"/>
      <c r="AD254" s="31"/>
      <c r="AE254" s="31"/>
      <c r="AF254" s="31"/>
      <c r="AG254" s="31"/>
      <c r="AH254" s="31"/>
      <c r="AI254" s="31"/>
      <c r="AJ254" s="31"/>
      <c r="AK254" s="31"/>
      <c r="AL254" s="31"/>
      <c r="AM254" s="31"/>
      <c r="AN254" s="31"/>
      <c r="AO254" s="31"/>
      <c r="AP254" s="31"/>
      <c r="AQ254" s="31"/>
      <c r="AR254" s="31"/>
      <c r="AS254" s="31"/>
      <c r="AT254" s="31"/>
      <c r="AU254" s="31"/>
    </row>
    <row r="255" spans="7:47" x14ac:dyDescent="0.25">
      <c r="G255" s="37">
        <f t="shared" si="9"/>
        <v>12</v>
      </c>
      <c r="H255" s="37" t="str">
        <f t="shared" si="11"/>
        <v>K248:K259</v>
      </c>
      <c r="I255" s="33" t="s">
        <v>175</v>
      </c>
      <c r="J255" s="42" t="s">
        <v>134</v>
      </c>
      <c r="K255" s="33" t="s">
        <v>358</v>
      </c>
      <c r="L255" s="42" t="s">
        <v>236</v>
      </c>
      <c r="M255" s="42" t="s">
        <v>305</v>
      </c>
      <c r="N255" s="43" t="str">
        <f t="shared" si="10"/>
        <v>values|outline</v>
      </c>
      <c r="O255" s="31" t="s">
        <v>51</v>
      </c>
      <c r="P255" s="31" t="s">
        <v>283</v>
      </c>
      <c r="Q255" s="31" t="s">
        <v>284</v>
      </c>
      <c r="R255" s="31" t="s">
        <v>285</v>
      </c>
      <c r="S255" s="31" t="s">
        <v>286</v>
      </c>
      <c r="T255" s="31" t="s">
        <v>287</v>
      </c>
      <c r="U255" s="31" t="s">
        <v>288</v>
      </c>
      <c r="V255" s="31" t="s">
        <v>238</v>
      </c>
      <c r="W255" s="31"/>
      <c r="X255" s="31"/>
      <c r="Y255" s="31"/>
      <c r="Z255" s="31"/>
      <c r="AA255" s="31"/>
      <c r="AB255" s="31"/>
      <c r="AC255" s="31"/>
      <c r="AD255" s="31"/>
      <c r="AE255" s="31"/>
      <c r="AF255" s="31"/>
      <c r="AG255" s="31"/>
      <c r="AH255" s="31"/>
      <c r="AI255" s="31"/>
      <c r="AJ255" s="31"/>
      <c r="AK255" s="31"/>
      <c r="AL255" s="31"/>
      <c r="AM255" s="31"/>
      <c r="AN255" s="31"/>
      <c r="AO255" s="31"/>
      <c r="AP255" s="31"/>
      <c r="AQ255" s="31"/>
      <c r="AR255" s="31"/>
      <c r="AS255" s="31"/>
      <c r="AT255" s="31"/>
      <c r="AU255" s="31"/>
    </row>
    <row r="256" spans="7:47" x14ac:dyDescent="0.25">
      <c r="G256" s="37">
        <f t="shared" si="9"/>
        <v>12</v>
      </c>
      <c r="H256" s="37" t="str">
        <f t="shared" si="11"/>
        <v>K248:K259</v>
      </c>
      <c r="I256" s="33" t="s">
        <v>175</v>
      </c>
      <c r="J256" s="42" t="s">
        <v>134</v>
      </c>
      <c r="K256" s="33" t="s">
        <v>486</v>
      </c>
      <c r="L256" s="42" t="s">
        <v>397</v>
      </c>
      <c r="M256" s="42" t="s">
        <v>304</v>
      </c>
      <c r="N256" s="43" t="str">
        <f t="shared" si="10"/>
        <v>values|valuesOnRow</v>
      </c>
      <c r="O256" s="31" t="s">
        <v>302</v>
      </c>
      <c r="P256" s="31" t="s">
        <v>302</v>
      </c>
      <c r="Q256" s="31" t="s">
        <v>302</v>
      </c>
      <c r="R256" s="31" t="s">
        <v>302</v>
      </c>
      <c r="S256" s="31" t="s">
        <v>302</v>
      </c>
      <c r="T256" s="31" t="s">
        <v>302</v>
      </c>
      <c r="U256" s="31" t="s">
        <v>302</v>
      </c>
      <c r="V256" s="31" t="s">
        <v>302</v>
      </c>
      <c r="W256" s="31" t="s">
        <v>302</v>
      </c>
      <c r="X256" s="31" t="s">
        <v>302</v>
      </c>
      <c r="Y256" s="31" t="s">
        <v>302</v>
      </c>
      <c r="Z256" s="31" t="s">
        <v>302</v>
      </c>
      <c r="AA256" s="31" t="s">
        <v>302</v>
      </c>
      <c r="AB256" s="31" t="s">
        <v>302</v>
      </c>
      <c r="AC256" s="31"/>
      <c r="AD256" s="31"/>
      <c r="AE256" s="31"/>
      <c r="AF256" s="31"/>
      <c r="AG256" s="31"/>
      <c r="AH256" s="31"/>
      <c r="AI256" s="31"/>
      <c r="AJ256" s="31"/>
      <c r="AK256" s="31"/>
      <c r="AL256" s="31"/>
      <c r="AM256" s="31"/>
      <c r="AN256" s="31"/>
      <c r="AO256" s="31"/>
      <c r="AP256" s="31"/>
      <c r="AQ256" s="31"/>
      <c r="AR256" s="31"/>
      <c r="AS256" s="31"/>
      <c r="AT256" s="31"/>
      <c r="AU256" s="31"/>
    </row>
    <row r="257" spans="7:47" x14ac:dyDescent="0.25">
      <c r="G257" s="37">
        <f t="shared" si="9"/>
        <v>12</v>
      </c>
      <c r="H257" s="37" t="str">
        <f t="shared" si="11"/>
        <v>K248:K259</v>
      </c>
      <c r="I257" s="33" t="s">
        <v>175</v>
      </c>
      <c r="J257" s="42" t="s">
        <v>134</v>
      </c>
      <c r="K257" s="33" t="s">
        <v>16</v>
      </c>
      <c r="L257" s="42" t="s">
        <v>4</v>
      </c>
      <c r="M257" s="42" t="s">
        <v>307</v>
      </c>
      <c r="N257" s="43" t="str">
        <f t="shared" si="10"/>
        <v>values|fontSize</v>
      </c>
      <c r="O257" s="31" t="s">
        <v>302</v>
      </c>
      <c r="P257" s="31" t="s">
        <v>302</v>
      </c>
      <c r="Q257" s="31" t="s">
        <v>302</v>
      </c>
      <c r="R257" s="31" t="s">
        <v>302</v>
      </c>
      <c r="S257" s="31" t="s">
        <v>302</v>
      </c>
      <c r="T257" s="31" t="s">
        <v>302</v>
      </c>
      <c r="U257" s="31" t="s">
        <v>302</v>
      </c>
      <c r="V257" s="31" t="s">
        <v>302</v>
      </c>
      <c r="W257" s="31" t="s">
        <v>302</v>
      </c>
      <c r="X257" s="31" t="s">
        <v>302</v>
      </c>
      <c r="Y257" s="31" t="s">
        <v>302</v>
      </c>
      <c r="Z257" s="31" t="s">
        <v>302</v>
      </c>
      <c r="AA257" s="31" t="s">
        <v>302</v>
      </c>
      <c r="AB257" s="31" t="s">
        <v>302</v>
      </c>
      <c r="AC257" s="31"/>
      <c r="AD257" s="31"/>
      <c r="AE257" s="31"/>
      <c r="AF257" s="31"/>
      <c r="AG257" s="31"/>
      <c r="AH257" s="31"/>
      <c r="AI257" s="31"/>
      <c r="AJ257" s="31"/>
      <c r="AK257" s="31"/>
      <c r="AL257" s="31"/>
      <c r="AM257" s="31"/>
      <c r="AN257" s="31"/>
      <c r="AO257" s="31"/>
      <c r="AP257" s="31"/>
      <c r="AQ257" s="31"/>
      <c r="AR257" s="31"/>
      <c r="AS257" s="31"/>
      <c r="AT257" s="31"/>
      <c r="AU257" s="31"/>
    </row>
    <row r="258" spans="7:47" x14ac:dyDescent="0.25">
      <c r="G258" s="37">
        <f t="shared" si="9"/>
        <v>12</v>
      </c>
      <c r="H258" s="37" t="str">
        <f t="shared" si="11"/>
        <v>K248:K259</v>
      </c>
      <c r="I258" s="33" t="s">
        <v>175</v>
      </c>
      <c r="J258" s="42" t="s">
        <v>134</v>
      </c>
      <c r="K258" s="33" t="s">
        <v>481</v>
      </c>
      <c r="L258" s="42" t="s">
        <v>391</v>
      </c>
      <c r="M258" s="42" t="s">
        <v>304</v>
      </c>
      <c r="N258" s="43" t="str">
        <f t="shared" si="10"/>
        <v>values|urlIcon</v>
      </c>
      <c r="O258" s="31" t="s">
        <v>302</v>
      </c>
      <c r="P258" s="31" t="s">
        <v>302</v>
      </c>
      <c r="Q258" s="31" t="s">
        <v>302</v>
      </c>
      <c r="R258" s="31" t="s">
        <v>302</v>
      </c>
      <c r="S258" s="31" t="s">
        <v>302</v>
      </c>
      <c r="T258" s="31" t="s">
        <v>302</v>
      </c>
      <c r="U258" s="31" t="s">
        <v>302</v>
      </c>
      <c r="V258" s="31" t="s">
        <v>302</v>
      </c>
      <c r="W258" s="31" t="s">
        <v>302</v>
      </c>
      <c r="X258" s="31" t="s">
        <v>302</v>
      </c>
      <c r="Y258" s="31" t="s">
        <v>302</v>
      </c>
      <c r="Z258" s="31" t="s">
        <v>302</v>
      </c>
      <c r="AA258" s="31" t="s">
        <v>302</v>
      </c>
      <c r="AB258" s="31" t="s">
        <v>302</v>
      </c>
      <c r="AC258" s="31"/>
      <c r="AD258" s="31"/>
      <c r="AE258" s="31"/>
      <c r="AF258" s="31"/>
      <c r="AG258" s="31"/>
      <c r="AH258" s="31"/>
      <c r="AI258" s="31"/>
      <c r="AJ258" s="31"/>
      <c r="AK258" s="31"/>
      <c r="AL258" s="31"/>
      <c r="AM258" s="31"/>
      <c r="AN258" s="31"/>
      <c r="AO258" s="31"/>
      <c r="AP258" s="31"/>
      <c r="AQ258" s="31"/>
      <c r="AR258" s="31"/>
      <c r="AS258" s="31"/>
      <c r="AT258" s="31"/>
      <c r="AU258" s="31"/>
    </row>
    <row r="259" spans="7:47" x14ac:dyDescent="0.25">
      <c r="G259" s="37">
        <f t="shared" si="9"/>
        <v>12</v>
      </c>
      <c r="H259" s="37" t="str">
        <f t="shared" si="11"/>
        <v>K248:K259</v>
      </c>
      <c r="I259" s="33" t="s">
        <v>175</v>
      </c>
      <c r="J259" s="42" t="s">
        <v>134</v>
      </c>
      <c r="K259" s="33" t="s">
        <v>176</v>
      </c>
      <c r="L259" s="42" t="s">
        <v>135</v>
      </c>
      <c r="M259" s="42" t="s">
        <v>304</v>
      </c>
      <c r="N259" s="43" t="str">
        <f t="shared" si="10"/>
        <v>values|wordWrap</v>
      </c>
      <c r="O259" s="31" t="s">
        <v>302</v>
      </c>
      <c r="P259" s="31" t="s">
        <v>302</v>
      </c>
      <c r="Q259" s="31" t="s">
        <v>302</v>
      </c>
      <c r="R259" s="31" t="s">
        <v>302</v>
      </c>
      <c r="S259" s="31" t="s">
        <v>302</v>
      </c>
      <c r="T259" s="31" t="s">
        <v>302</v>
      </c>
      <c r="U259" s="31" t="s">
        <v>302</v>
      </c>
      <c r="V259" s="31" t="s">
        <v>302</v>
      </c>
      <c r="W259" s="31" t="s">
        <v>302</v>
      </c>
      <c r="X259" s="31" t="s">
        <v>302</v>
      </c>
      <c r="Y259" s="31" t="s">
        <v>302</v>
      </c>
      <c r="Z259" s="31" t="s">
        <v>302</v>
      </c>
      <c r="AA259" s="31" t="s">
        <v>302</v>
      </c>
      <c r="AB259" s="31" t="s">
        <v>302</v>
      </c>
      <c r="AC259" s="31"/>
      <c r="AD259" s="31"/>
      <c r="AE259" s="31"/>
      <c r="AF259" s="31"/>
      <c r="AG259" s="31"/>
      <c r="AH259" s="31"/>
      <c r="AI259" s="31"/>
      <c r="AJ259" s="31"/>
      <c r="AK259" s="31"/>
      <c r="AL259" s="31"/>
      <c r="AM259" s="31"/>
      <c r="AN259" s="31"/>
      <c r="AO259" s="31"/>
      <c r="AP259" s="31"/>
      <c r="AQ259" s="31"/>
      <c r="AR259" s="31"/>
      <c r="AS259" s="31"/>
      <c r="AT259" s="31"/>
      <c r="AU259" s="31"/>
    </row>
    <row r="260" spans="7:47" x14ac:dyDescent="0.25">
      <c r="G260" s="37">
        <f t="shared" si="9"/>
        <v>2</v>
      </c>
      <c r="H260" s="37" t="str">
        <f t="shared" si="11"/>
        <v>K260:K261</v>
      </c>
      <c r="I260" s="33" t="s">
        <v>176</v>
      </c>
      <c r="J260" s="42" t="s">
        <v>135</v>
      </c>
      <c r="K260" s="33" t="s">
        <v>17</v>
      </c>
      <c r="L260" s="42" t="s">
        <v>5</v>
      </c>
      <c r="M260" s="42" t="s">
        <v>307</v>
      </c>
      <c r="N260" s="43" t="str">
        <f t="shared" si="10"/>
        <v>wordWrap|fontFamily</v>
      </c>
      <c r="O260" s="31" t="s">
        <v>302</v>
      </c>
      <c r="P260" s="31" t="s">
        <v>302</v>
      </c>
      <c r="Q260" s="31" t="s">
        <v>302</v>
      </c>
      <c r="R260" s="31" t="s">
        <v>302</v>
      </c>
      <c r="S260" s="31" t="s">
        <v>302</v>
      </c>
      <c r="T260" s="31" t="s">
        <v>302</v>
      </c>
      <c r="U260" s="31" t="s">
        <v>302</v>
      </c>
      <c r="V260" s="31" t="s">
        <v>302</v>
      </c>
      <c r="W260" s="31" t="s">
        <v>302</v>
      </c>
      <c r="X260" s="31" t="s">
        <v>302</v>
      </c>
      <c r="Y260" s="31" t="s">
        <v>302</v>
      </c>
      <c r="Z260" s="31" t="s">
        <v>302</v>
      </c>
      <c r="AA260" s="31" t="s">
        <v>302</v>
      </c>
      <c r="AB260" s="31" t="s">
        <v>302</v>
      </c>
      <c r="AC260" s="31"/>
      <c r="AD260" s="31"/>
      <c r="AE260" s="31"/>
      <c r="AF260" s="31"/>
      <c r="AG260" s="31"/>
      <c r="AH260" s="31"/>
      <c r="AI260" s="31"/>
      <c r="AJ260" s="31"/>
      <c r="AK260" s="31"/>
      <c r="AL260" s="31"/>
      <c r="AM260" s="31"/>
      <c r="AN260" s="31"/>
      <c r="AO260" s="31"/>
      <c r="AP260" s="31"/>
      <c r="AQ260" s="31"/>
      <c r="AR260" s="31"/>
      <c r="AS260" s="31"/>
      <c r="AT260" s="31"/>
      <c r="AU260" s="31"/>
    </row>
    <row r="261" spans="7:47" x14ac:dyDescent="0.25">
      <c r="G261" s="37">
        <f t="shared" ref="G261:G324" si="12">COUNTIF(I:I,I261)</f>
        <v>2</v>
      </c>
      <c r="H261" s="37" t="str">
        <f t="shared" si="11"/>
        <v>K260:K261</v>
      </c>
      <c r="I261" s="33" t="s">
        <v>176</v>
      </c>
      <c r="J261" s="42" t="s">
        <v>135</v>
      </c>
      <c r="K261" s="33" t="s">
        <v>213</v>
      </c>
      <c r="L261" s="42" t="s">
        <v>54</v>
      </c>
      <c r="M261" s="42" t="s">
        <v>304</v>
      </c>
      <c r="N261" s="43" t="str">
        <f t="shared" ref="N261:N324" si="13">J261&amp;"|"&amp;L261</f>
        <v>wordWrap|show</v>
      </c>
      <c r="O261" s="31" t="s">
        <v>302</v>
      </c>
      <c r="P261" s="31" t="s">
        <v>302</v>
      </c>
      <c r="Q261" s="31" t="s">
        <v>302</v>
      </c>
      <c r="R261" s="31" t="s">
        <v>302</v>
      </c>
      <c r="S261" s="31" t="s">
        <v>302</v>
      </c>
      <c r="T261" s="31" t="s">
        <v>302</v>
      </c>
      <c r="U261" s="31" t="s">
        <v>302</v>
      </c>
      <c r="V261" s="31" t="s">
        <v>302</v>
      </c>
      <c r="W261" s="31" t="s">
        <v>302</v>
      </c>
      <c r="X261" s="31" t="s">
        <v>302</v>
      </c>
      <c r="Y261" s="31" t="s">
        <v>302</v>
      </c>
      <c r="Z261" s="31" t="s">
        <v>302</v>
      </c>
      <c r="AA261" s="31" t="s">
        <v>302</v>
      </c>
      <c r="AB261" s="31" t="s">
        <v>302</v>
      </c>
      <c r="AC261" s="31"/>
      <c r="AD261" s="31"/>
      <c r="AE261" s="31"/>
      <c r="AF261" s="31"/>
      <c r="AG261" s="31"/>
      <c r="AH261" s="31"/>
      <c r="AI261" s="31"/>
      <c r="AJ261" s="31"/>
      <c r="AK261" s="31"/>
      <c r="AL261" s="31"/>
      <c r="AM261" s="31"/>
      <c r="AN261" s="31"/>
      <c r="AO261" s="31"/>
      <c r="AP261" s="31"/>
      <c r="AQ261" s="31"/>
      <c r="AR261" s="31"/>
      <c r="AS261" s="31"/>
      <c r="AT261" s="31"/>
      <c r="AU261" s="31"/>
    </row>
    <row r="262" spans="7:47" x14ac:dyDescent="0.25">
      <c r="G262" s="37">
        <f t="shared" si="12"/>
        <v>19</v>
      </c>
      <c r="H262" s="37" t="str">
        <f t="shared" ref="H262:H325" si="14">IF(I262=I261,H261,"K"&amp;ROW()&amp;":K"&amp;ROW()+G262-1)</f>
        <v>K262:K280</v>
      </c>
      <c r="I262" s="33" t="s">
        <v>23</v>
      </c>
      <c r="J262" s="42" t="s">
        <v>55</v>
      </c>
      <c r="K262" s="33" t="s">
        <v>15</v>
      </c>
      <c r="L262" s="42" t="s">
        <v>58</v>
      </c>
      <c r="M262" s="42" t="s">
        <v>104</v>
      </c>
      <c r="N262" s="43" t="str">
        <f t="shared" si="13"/>
        <v>categoryAxis|labelColor</v>
      </c>
      <c r="O262" s="31" t="s">
        <v>302</v>
      </c>
      <c r="P262" s="31" t="s">
        <v>302</v>
      </c>
      <c r="Q262" s="31" t="s">
        <v>302</v>
      </c>
      <c r="R262" s="31" t="s">
        <v>302</v>
      </c>
      <c r="S262" s="31" t="s">
        <v>302</v>
      </c>
      <c r="T262" s="31" t="s">
        <v>302</v>
      </c>
      <c r="U262" s="31" t="s">
        <v>302</v>
      </c>
      <c r="V262" s="31" t="s">
        <v>302</v>
      </c>
      <c r="W262" s="31" t="s">
        <v>302</v>
      </c>
      <c r="X262" s="31" t="s">
        <v>302</v>
      </c>
      <c r="Y262" s="31" t="s">
        <v>302</v>
      </c>
      <c r="Z262" s="31" t="s">
        <v>302</v>
      </c>
      <c r="AA262" s="31" t="s">
        <v>302</v>
      </c>
      <c r="AB262" s="31" t="s">
        <v>302</v>
      </c>
      <c r="AC262" s="31"/>
      <c r="AD262" s="31"/>
      <c r="AE262" s="31"/>
      <c r="AF262" s="31"/>
      <c r="AG262" s="31"/>
      <c r="AH262" s="31"/>
      <c r="AI262" s="31"/>
      <c r="AJ262" s="31"/>
      <c r="AK262" s="31"/>
      <c r="AL262" s="31"/>
      <c r="AM262" s="31"/>
      <c r="AN262" s="31"/>
      <c r="AO262" s="31"/>
      <c r="AP262" s="31"/>
      <c r="AQ262" s="31"/>
      <c r="AR262" s="31"/>
      <c r="AS262" s="31"/>
      <c r="AT262" s="31"/>
      <c r="AU262" s="31"/>
    </row>
    <row r="263" spans="7:47" x14ac:dyDescent="0.25">
      <c r="G263" s="37">
        <f t="shared" si="12"/>
        <v>19</v>
      </c>
      <c r="H263" s="37" t="str">
        <f t="shared" si="14"/>
        <v>K262:K280</v>
      </c>
      <c r="I263" s="33" t="s">
        <v>23</v>
      </c>
      <c r="J263" s="42" t="s">
        <v>55</v>
      </c>
      <c r="K263" s="33" t="s">
        <v>15</v>
      </c>
      <c r="L263" s="42" t="s">
        <v>315</v>
      </c>
      <c r="M263" s="42" t="s">
        <v>104</v>
      </c>
      <c r="N263" s="43" t="str">
        <f t="shared" si="13"/>
        <v>categoryAxis|color</v>
      </c>
      <c r="O263" s="31" t="s">
        <v>302</v>
      </c>
      <c r="P263" s="31" t="s">
        <v>302</v>
      </c>
      <c r="Q263" s="31" t="s">
        <v>302</v>
      </c>
      <c r="R263" s="31" t="s">
        <v>302</v>
      </c>
      <c r="S263" s="31" t="s">
        <v>302</v>
      </c>
      <c r="T263" s="31" t="s">
        <v>302</v>
      </c>
      <c r="U263" s="31" t="s">
        <v>302</v>
      </c>
      <c r="V263" s="31" t="s">
        <v>302</v>
      </c>
      <c r="W263" s="31" t="s">
        <v>302</v>
      </c>
      <c r="X263" s="31" t="s">
        <v>302</v>
      </c>
      <c r="Y263" s="31" t="s">
        <v>302</v>
      </c>
      <c r="Z263" s="31" t="s">
        <v>302</v>
      </c>
      <c r="AA263" s="31" t="s">
        <v>302</v>
      </c>
      <c r="AB263" s="31" t="s">
        <v>302</v>
      </c>
      <c r="AC263" s="31"/>
      <c r="AD263" s="31"/>
      <c r="AE263" s="31"/>
      <c r="AF263" s="31"/>
      <c r="AG263" s="31"/>
      <c r="AH263" s="31"/>
      <c r="AI263" s="31"/>
      <c r="AJ263" s="31"/>
      <c r="AK263" s="31"/>
      <c r="AL263" s="31"/>
      <c r="AM263" s="31"/>
      <c r="AN263" s="31"/>
      <c r="AO263" s="31"/>
      <c r="AP263" s="31"/>
      <c r="AQ263" s="31"/>
      <c r="AR263" s="31"/>
      <c r="AS263" s="31"/>
      <c r="AT263" s="31"/>
      <c r="AU263" s="31"/>
    </row>
    <row r="264" spans="7:47" x14ac:dyDescent="0.25">
      <c r="G264" s="37">
        <f t="shared" si="12"/>
        <v>19</v>
      </c>
      <c r="H264" s="37" t="str">
        <f t="shared" si="14"/>
        <v>K262:K280</v>
      </c>
      <c r="I264" s="33" t="s">
        <v>23</v>
      </c>
      <c r="J264" s="42" t="s">
        <v>55</v>
      </c>
      <c r="K264" s="33" t="s">
        <v>436</v>
      </c>
      <c r="L264" s="42" t="s">
        <v>313</v>
      </c>
      <c r="M264" s="42" t="s">
        <v>304</v>
      </c>
      <c r="N264" s="43" t="str">
        <f t="shared" si="13"/>
        <v>categoryAxis|concatenateLabels</v>
      </c>
      <c r="O264" s="31" t="s">
        <v>302</v>
      </c>
      <c r="P264" s="31" t="s">
        <v>302</v>
      </c>
      <c r="Q264" s="31" t="s">
        <v>302</v>
      </c>
      <c r="R264" s="31" t="s">
        <v>302</v>
      </c>
      <c r="S264" s="31" t="s">
        <v>302</v>
      </c>
      <c r="T264" s="31" t="s">
        <v>302</v>
      </c>
      <c r="U264" s="31" t="s">
        <v>302</v>
      </c>
      <c r="V264" s="31" t="s">
        <v>302</v>
      </c>
      <c r="W264" s="31" t="s">
        <v>302</v>
      </c>
      <c r="X264" s="31" t="s">
        <v>302</v>
      </c>
      <c r="Y264" s="31" t="s">
        <v>302</v>
      </c>
      <c r="Z264" s="31" t="s">
        <v>302</v>
      </c>
      <c r="AA264" s="31" t="s">
        <v>302</v>
      </c>
      <c r="AB264" s="31" t="s">
        <v>302</v>
      </c>
      <c r="AC264" s="31"/>
      <c r="AD264" s="31"/>
      <c r="AE264" s="31"/>
      <c r="AF264" s="31"/>
      <c r="AG264" s="31"/>
      <c r="AH264" s="31"/>
      <c r="AI264" s="31"/>
      <c r="AJ264" s="31"/>
      <c r="AK264" s="31"/>
      <c r="AL264" s="31"/>
      <c r="AM264" s="31"/>
      <c r="AN264" s="31"/>
      <c r="AO264" s="31"/>
      <c r="AP264" s="31"/>
      <c r="AQ264" s="31"/>
      <c r="AR264" s="31"/>
      <c r="AS264" s="31"/>
      <c r="AT264" s="31"/>
      <c r="AU264" s="31"/>
    </row>
    <row r="265" spans="7:47" x14ac:dyDescent="0.25">
      <c r="G265" s="37">
        <f t="shared" si="12"/>
        <v>19</v>
      </c>
      <c r="H265" s="37" t="str">
        <f t="shared" si="14"/>
        <v>K262:K280</v>
      </c>
      <c r="I265" s="33" t="s">
        <v>23</v>
      </c>
      <c r="J265" s="42" t="s">
        <v>55</v>
      </c>
      <c r="K265" s="33" t="s">
        <v>27</v>
      </c>
      <c r="L265" s="42" t="s">
        <v>214</v>
      </c>
      <c r="M265" s="42" t="s">
        <v>307</v>
      </c>
      <c r="N265" s="43" t="str">
        <f t="shared" si="13"/>
        <v>categoryAxis|labelDisplayUnits</v>
      </c>
      <c r="O265" s="31" t="s">
        <v>302</v>
      </c>
      <c r="P265" s="31" t="s">
        <v>302</v>
      </c>
      <c r="Q265" s="31" t="s">
        <v>302</v>
      </c>
      <c r="R265" s="31" t="s">
        <v>302</v>
      </c>
      <c r="S265" s="31" t="s">
        <v>302</v>
      </c>
      <c r="T265" s="31" t="s">
        <v>302</v>
      </c>
      <c r="U265" s="31" t="s">
        <v>302</v>
      </c>
      <c r="V265" s="31" t="s">
        <v>302</v>
      </c>
      <c r="W265" s="31" t="s">
        <v>302</v>
      </c>
      <c r="X265" s="31" t="s">
        <v>302</v>
      </c>
      <c r="Y265" s="31" t="s">
        <v>302</v>
      </c>
      <c r="Z265" s="31" t="s">
        <v>302</v>
      </c>
      <c r="AA265" s="31" t="s">
        <v>302</v>
      </c>
      <c r="AB265" s="31" t="s">
        <v>302</v>
      </c>
      <c r="AC265" s="31"/>
      <c r="AD265" s="31"/>
      <c r="AE265" s="31"/>
      <c r="AF265" s="31"/>
      <c r="AG265" s="31"/>
      <c r="AH265" s="31"/>
      <c r="AI265" s="31"/>
      <c r="AJ265" s="31"/>
      <c r="AK265" s="31"/>
      <c r="AL265" s="31"/>
      <c r="AM265" s="31"/>
      <c r="AN265" s="31"/>
      <c r="AO265" s="31"/>
      <c r="AP265" s="31"/>
      <c r="AQ265" s="31"/>
      <c r="AR265" s="31"/>
      <c r="AS265" s="31"/>
      <c r="AT265" s="31"/>
      <c r="AU265" s="31"/>
    </row>
    <row r="266" spans="7:47" x14ac:dyDescent="0.25">
      <c r="G266" s="37">
        <f t="shared" si="12"/>
        <v>19</v>
      </c>
      <c r="H266" s="37" t="str">
        <f t="shared" si="14"/>
        <v>K262:K280</v>
      </c>
      <c r="I266" s="33" t="s">
        <v>23</v>
      </c>
      <c r="J266" s="42" t="s">
        <v>55</v>
      </c>
      <c r="K266" s="33" t="s">
        <v>26</v>
      </c>
      <c r="L266" s="42" t="s">
        <v>207</v>
      </c>
      <c r="M266" s="42" t="s">
        <v>310</v>
      </c>
      <c r="N266" s="43" t="str">
        <f t="shared" si="13"/>
        <v>categoryAxis|end</v>
      </c>
      <c r="O266" s="31" t="s">
        <v>302</v>
      </c>
      <c r="P266" s="31" t="s">
        <v>302</v>
      </c>
      <c r="Q266" s="31" t="s">
        <v>302</v>
      </c>
      <c r="R266" s="31" t="s">
        <v>302</v>
      </c>
      <c r="S266" s="31" t="s">
        <v>302</v>
      </c>
      <c r="T266" s="31" t="s">
        <v>302</v>
      </c>
      <c r="U266" s="31" t="s">
        <v>302</v>
      </c>
      <c r="V266" s="31" t="s">
        <v>302</v>
      </c>
      <c r="W266" s="31" t="s">
        <v>302</v>
      </c>
      <c r="X266" s="31" t="s">
        <v>302</v>
      </c>
      <c r="Y266" s="31" t="s">
        <v>302</v>
      </c>
      <c r="Z266" s="31" t="s">
        <v>302</v>
      </c>
      <c r="AA266" s="31" t="s">
        <v>302</v>
      </c>
      <c r="AB266" s="31" t="s">
        <v>302</v>
      </c>
      <c r="AC266" s="31"/>
      <c r="AD266" s="31"/>
      <c r="AE266" s="31"/>
      <c r="AF266" s="31"/>
      <c r="AG266" s="31"/>
      <c r="AH266" s="31"/>
      <c r="AI266" s="31"/>
      <c r="AJ266" s="31"/>
      <c r="AK266" s="31"/>
      <c r="AL266" s="31"/>
      <c r="AM266" s="31"/>
      <c r="AN266" s="31"/>
      <c r="AO266" s="31"/>
      <c r="AP266" s="31"/>
      <c r="AQ266" s="31"/>
      <c r="AR266" s="31"/>
      <c r="AS266" s="31"/>
      <c r="AT266" s="31"/>
      <c r="AU266" s="31"/>
    </row>
    <row r="267" spans="7:47" x14ac:dyDescent="0.25">
      <c r="G267" s="37">
        <f t="shared" si="12"/>
        <v>19</v>
      </c>
      <c r="H267" s="37" t="str">
        <f t="shared" si="14"/>
        <v>K262:K280</v>
      </c>
      <c r="I267" s="33" t="s">
        <v>23</v>
      </c>
      <c r="J267" s="42" t="s">
        <v>55</v>
      </c>
      <c r="K267" s="33" t="s">
        <v>17</v>
      </c>
      <c r="L267" s="42" t="s">
        <v>5</v>
      </c>
      <c r="M267" s="42" t="s">
        <v>307</v>
      </c>
      <c r="N267" s="43" t="str">
        <f t="shared" si="13"/>
        <v>categoryAxis|fontFamily</v>
      </c>
      <c r="O267" s="31" t="s">
        <v>302</v>
      </c>
      <c r="P267" s="31" t="s">
        <v>302</v>
      </c>
      <c r="Q267" s="31" t="s">
        <v>302</v>
      </c>
      <c r="R267" s="31" t="s">
        <v>302</v>
      </c>
      <c r="S267" s="31" t="s">
        <v>302</v>
      </c>
      <c r="T267" s="31" t="s">
        <v>302</v>
      </c>
      <c r="U267" s="31" t="s">
        <v>302</v>
      </c>
      <c r="V267" s="31" t="s">
        <v>302</v>
      </c>
      <c r="W267" s="31" t="s">
        <v>302</v>
      </c>
      <c r="X267" s="31" t="s">
        <v>302</v>
      </c>
      <c r="Y267" s="31" t="s">
        <v>302</v>
      </c>
      <c r="Z267" s="31" t="s">
        <v>302</v>
      </c>
      <c r="AA267" s="31" t="s">
        <v>302</v>
      </c>
      <c r="AB267" s="31" t="s">
        <v>302</v>
      </c>
      <c r="AC267" s="31"/>
      <c r="AD267" s="31"/>
      <c r="AE267" s="31"/>
      <c r="AF267" s="31"/>
      <c r="AG267" s="31"/>
      <c r="AH267" s="31"/>
      <c r="AI267" s="31"/>
      <c r="AJ267" s="31"/>
      <c r="AK267" s="31"/>
      <c r="AL267" s="31"/>
      <c r="AM267" s="31"/>
      <c r="AN267" s="31"/>
      <c r="AO267" s="31"/>
      <c r="AP267" s="31"/>
      <c r="AQ267" s="31"/>
      <c r="AR267" s="31"/>
      <c r="AS267" s="31"/>
      <c r="AT267" s="31"/>
      <c r="AU267" s="31"/>
    </row>
    <row r="268" spans="7:47" x14ac:dyDescent="0.25">
      <c r="G268" s="37">
        <f t="shared" si="12"/>
        <v>19</v>
      </c>
      <c r="H268" s="37" t="str">
        <f t="shared" si="14"/>
        <v>K262:K280</v>
      </c>
      <c r="I268" s="33" t="s">
        <v>23</v>
      </c>
      <c r="J268" s="42" t="s">
        <v>55</v>
      </c>
      <c r="K268" s="33" t="s">
        <v>17</v>
      </c>
      <c r="L268" s="42" t="s">
        <v>316</v>
      </c>
      <c r="M268" s="42" t="s">
        <v>307</v>
      </c>
      <c r="N268" s="43" t="str">
        <f t="shared" si="13"/>
        <v>categoryAxis|titleFontFamily</v>
      </c>
      <c r="O268" s="31" t="s">
        <v>302</v>
      </c>
      <c r="P268" s="31" t="s">
        <v>302</v>
      </c>
      <c r="Q268" s="31" t="s">
        <v>302</v>
      </c>
      <c r="R268" s="31" t="s">
        <v>302</v>
      </c>
      <c r="S268" s="31" t="s">
        <v>302</v>
      </c>
      <c r="T268" s="31" t="s">
        <v>302</v>
      </c>
      <c r="U268" s="31" t="s">
        <v>302</v>
      </c>
      <c r="V268" s="31" t="s">
        <v>302</v>
      </c>
      <c r="W268" s="31" t="s">
        <v>302</v>
      </c>
      <c r="X268" s="31" t="s">
        <v>302</v>
      </c>
      <c r="Y268" s="31" t="s">
        <v>302</v>
      </c>
      <c r="Z268" s="31" t="s">
        <v>302</v>
      </c>
      <c r="AA268" s="31" t="s">
        <v>302</v>
      </c>
      <c r="AB268" s="31" t="s">
        <v>302</v>
      </c>
      <c r="AC268" s="31"/>
      <c r="AD268" s="31"/>
      <c r="AE268" s="31"/>
      <c r="AF268" s="31"/>
      <c r="AG268" s="31"/>
      <c r="AH268" s="31"/>
      <c r="AI268" s="31"/>
      <c r="AJ268" s="31"/>
      <c r="AK268" s="31"/>
      <c r="AL268" s="31"/>
      <c r="AM268" s="31"/>
      <c r="AN268" s="31"/>
      <c r="AO268" s="31"/>
      <c r="AP268" s="31"/>
      <c r="AQ268" s="31"/>
      <c r="AR268" s="31"/>
      <c r="AS268" s="31"/>
      <c r="AT268" s="31"/>
      <c r="AU268" s="31"/>
    </row>
    <row r="269" spans="7:47" x14ac:dyDescent="0.25">
      <c r="G269" s="37">
        <f t="shared" si="12"/>
        <v>19</v>
      </c>
      <c r="H269" s="37" t="str">
        <f t="shared" si="14"/>
        <v>K262:K280</v>
      </c>
      <c r="I269" s="33" t="s">
        <v>23</v>
      </c>
      <c r="J269" s="42" t="s">
        <v>55</v>
      </c>
      <c r="K269" s="33" t="s">
        <v>19</v>
      </c>
      <c r="L269" s="42" t="s">
        <v>314</v>
      </c>
      <c r="M269" s="42" t="s">
        <v>310</v>
      </c>
      <c r="N269" s="43" t="str">
        <f t="shared" si="13"/>
        <v>categoryAxis|preferredCategoryWidth</v>
      </c>
      <c r="O269" s="31" t="s">
        <v>302</v>
      </c>
      <c r="P269" s="31" t="s">
        <v>302</v>
      </c>
      <c r="Q269" s="31" t="s">
        <v>302</v>
      </c>
      <c r="R269" s="31" t="s">
        <v>302</v>
      </c>
      <c r="S269" s="31" t="s">
        <v>302</v>
      </c>
      <c r="T269" s="31" t="s">
        <v>302</v>
      </c>
      <c r="U269" s="31" t="s">
        <v>302</v>
      </c>
      <c r="V269" s="31" t="s">
        <v>302</v>
      </c>
      <c r="W269" s="31" t="s">
        <v>302</v>
      </c>
      <c r="X269" s="31" t="s">
        <v>302</v>
      </c>
      <c r="Y269" s="31" t="s">
        <v>302</v>
      </c>
      <c r="Z269" s="31" t="s">
        <v>302</v>
      </c>
      <c r="AA269" s="31" t="s">
        <v>302</v>
      </c>
      <c r="AB269" s="31" t="s">
        <v>302</v>
      </c>
      <c r="AC269" s="31"/>
      <c r="AD269" s="31"/>
      <c r="AE269" s="31"/>
      <c r="AF269" s="31"/>
      <c r="AG269" s="31"/>
      <c r="AH269" s="31"/>
      <c r="AI269" s="31"/>
      <c r="AJ269" s="31"/>
      <c r="AK269" s="31"/>
      <c r="AL269" s="31"/>
      <c r="AM269" s="31"/>
      <c r="AN269" s="31"/>
      <c r="AO269" s="31"/>
      <c r="AP269" s="31"/>
      <c r="AQ269" s="31"/>
      <c r="AR269" s="31"/>
      <c r="AS269" s="31"/>
      <c r="AT269" s="31"/>
      <c r="AU269" s="31"/>
    </row>
    <row r="270" spans="7:47" x14ac:dyDescent="0.25">
      <c r="G270" s="37">
        <f t="shared" si="12"/>
        <v>19</v>
      </c>
      <c r="H270" s="37" t="str">
        <f t="shared" si="14"/>
        <v>K262:K280</v>
      </c>
      <c r="I270" s="33" t="s">
        <v>23</v>
      </c>
      <c r="J270" s="42" t="s">
        <v>55</v>
      </c>
      <c r="K270" s="33" t="s">
        <v>13</v>
      </c>
      <c r="L270" s="42" t="s">
        <v>52</v>
      </c>
      <c r="M270" s="42" t="s">
        <v>305</v>
      </c>
      <c r="N270" s="43" t="str">
        <f t="shared" si="13"/>
        <v>categoryAxis|position</v>
      </c>
      <c r="O270" s="31" t="s">
        <v>40</v>
      </c>
      <c r="P270" s="31" t="s">
        <v>41</v>
      </c>
      <c r="Q270" s="31"/>
      <c r="R270" s="31"/>
      <c r="S270" s="31"/>
      <c r="T270" s="31"/>
      <c r="U270" s="31"/>
      <c r="V270" s="31"/>
      <c r="W270" s="31"/>
      <c r="X270" s="31"/>
      <c r="Y270" s="31"/>
      <c r="Z270" s="31"/>
      <c r="AA270" s="31"/>
      <c r="AB270" s="31"/>
      <c r="AC270" s="31"/>
      <c r="AD270" s="31"/>
      <c r="AE270" s="31"/>
      <c r="AF270" s="31"/>
      <c r="AG270" s="31"/>
      <c r="AH270" s="31"/>
      <c r="AI270" s="31"/>
      <c r="AJ270" s="31"/>
      <c r="AK270" s="31"/>
      <c r="AL270" s="31"/>
      <c r="AM270" s="31"/>
      <c r="AN270" s="31"/>
      <c r="AO270" s="31"/>
      <c r="AP270" s="31"/>
      <c r="AQ270" s="31"/>
      <c r="AR270" s="31"/>
      <c r="AS270" s="31"/>
      <c r="AT270" s="31"/>
      <c r="AU270" s="31"/>
    </row>
    <row r="271" spans="7:47" x14ac:dyDescent="0.25">
      <c r="G271" s="37">
        <f t="shared" si="12"/>
        <v>19</v>
      </c>
      <c r="H271" s="37" t="str">
        <f t="shared" si="14"/>
        <v>K262:K280</v>
      </c>
      <c r="I271" s="33" t="s">
        <v>23</v>
      </c>
      <c r="J271" s="42" t="s">
        <v>55</v>
      </c>
      <c r="K271" s="33" t="s">
        <v>24</v>
      </c>
      <c r="L271" s="42" t="s">
        <v>212</v>
      </c>
      <c r="M271" s="42" t="s">
        <v>305</v>
      </c>
      <c r="N271" s="43" t="str">
        <f t="shared" si="13"/>
        <v>categoryAxis|axisScale</v>
      </c>
      <c r="O271" s="31" t="s">
        <v>247</v>
      </c>
      <c r="P271" s="31" t="s">
        <v>248</v>
      </c>
      <c r="Q271" s="31"/>
      <c r="R271" s="31"/>
      <c r="S271" s="31"/>
      <c r="T271" s="31"/>
      <c r="U271" s="31"/>
      <c r="V271" s="31"/>
      <c r="W271" s="31"/>
      <c r="X271" s="31"/>
      <c r="Y271" s="31"/>
      <c r="Z271" s="31"/>
      <c r="AA271" s="31"/>
      <c r="AB271" s="31"/>
      <c r="AC271" s="31"/>
      <c r="AD271" s="31"/>
      <c r="AE271" s="31"/>
      <c r="AF271" s="31"/>
      <c r="AG271" s="31"/>
      <c r="AH271" s="31"/>
      <c r="AI271" s="31"/>
      <c r="AJ271" s="31"/>
      <c r="AK271" s="31"/>
      <c r="AL271" s="31"/>
      <c r="AM271" s="31"/>
      <c r="AN271" s="31"/>
      <c r="AO271" s="31"/>
      <c r="AP271" s="31"/>
      <c r="AQ271" s="31"/>
      <c r="AR271" s="31"/>
      <c r="AS271" s="31"/>
      <c r="AT271" s="31"/>
      <c r="AU271" s="31"/>
    </row>
    <row r="272" spans="7:47" x14ac:dyDescent="0.25">
      <c r="G272" s="37">
        <f t="shared" si="12"/>
        <v>19</v>
      </c>
      <c r="H272" s="37" t="str">
        <f t="shared" si="14"/>
        <v>K262:K280</v>
      </c>
      <c r="I272" s="33" t="s">
        <v>23</v>
      </c>
      <c r="J272" s="42" t="s">
        <v>55</v>
      </c>
      <c r="K272" s="33" t="s">
        <v>213</v>
      </c>
      <c r="L272" s="42" t="s">
        <v>54</v>
      </c>
      <c r="M272" s="42" t="s">
        <v>304</v>
      </c>
      <c r="N272" s="43" t="str">
        <f t="shared" si="13"/>
        <v>categoryAxis|show</v>
      </c>
      <c r="O272" s="31" t="s">
        <v>302</v>
      </c>
      <c r="P272" s="31" t="s">
        <v>302</v>
      </c>
      <c r="Q272" s="31" t="s">
        <v>302</v>
      </c>
      <c r="R272" s="31" t="s">
        <v>302</v>
      </c>
      <c r="S272" s="31" t="s">
        <v>302</v>
      </c>
      <c r="T272" s="31" t="s">
        <v>302</v>
      </c>
      <c r="U272" s="31" t="s">
        <v>302</v>
      </c>
      <c r="V272" s="31" t="s">
        <v>302</v>
      </c>
      <c r="W272" s="31" t="s">
        <v>302</v>
      </c>
      <c r="X272" s="31" t="s">
        <v>302</v>
      </c>
      <c r="Y272" s="31" t="s">
        <v>302</v>
      </c>
      <c r="Z272" s="31" t="s">
        <v>302</v>
      </c>
      <c r="AA272" s="31" t="s">
        <v>302</v>
      </c>
      <c r="AB272" s="31" t="s">
        <v>302</v>
      </c>
      <c r="AC272" s="31"/>
      <c r="AD272" s="31"/>
      <c r="AE272" s="31"/>
      <c r="AF272" s="31"/>
      <c r="AG272" s="31"/>
      <c r="AH272" s="31"/>
      <c r="AI272" s="31"/>
      <c r="AJ272" s="31"/>
      <c r="AK272" s="31"/>
      <c r="AL272" s="31"/>
      <c r="AM272" s="31"/>
      <c r="AN272" s="31"/>
      <c r="AO272" s="31"/>
      <c r="AP272" s="31"/>
      <c r="AQ272" s="31"/>
      <c r="AR272" s="31"/>
      <c r="AS272" s="31"/>
      <c r="AT272" s="31"/>
      <c r="AU272" s="31"/>
    </row>
    <row r="273" spans="7:47" x14ac:dyDescent="0.25">
      <c r="G273" s="37">
        <f t="shared" si="12"/>
        <v>19</v>
      </c>
      <c r="H273" s="37" t="str">
        <f t="shared" si="14"/>
        <v>K262:K280</v>
      </c>
      <c r="I273" s="33" t="s">
        <v>23</v>
      </c>
      <c r="J273" s="42" t="s">
        <v>55</v>
      </c>
      <c r="K273" s="33" t="s">
        <v>25</v>
      </c>
      <c r="L273" s="42" t="s">
        <v>309</v>
      </c>
      <c r="M273" s="42" t="s">
        <v>310</v>
      </c>
      <c r="N273" s="43" t="str">
        <f t="shared" si="13"/>
        <v>categoryAxis|start</v>
      </c>
      <c r="O273" s="31" t="s">
        <v>302</v>
      </c>
      <c r="P273" s="31" t="s">
        <v>302</v>
      </c>
      <c r="Q273" s="31" t="s">
        <v>302</v>
      </c>
      <c r="R273" s="31" t="s">
        <v>302</v>
      </c>
      <c r="S273" s="31" t="s">
        <v>302</v>
      </c>
      <c r="T273" s="31" t="s">
        <v>302</v>
      </c>
      <c r="U273" s="31" t="s">
        <v>302</v>
      </c>
      <c r="V273" s="31" t="s">
        <v>302</v>
      </c>
      <c r="W273" s="31" t="s">
        <v>302</v>
      </c>
      <c r="X273" s="31" t="s">
        <v>302</v>
      </c>
      <c r="Y273" s="31" t="s">
        <v>302</v>
      </c>
      <c r="Z273" s="31" t="s">
        <v>302</v>
      </c>
      <c r="AA273" s="31" t="s">
        <v>302</v>
      </c>
      <c r="AB273" s="31" t="s">
        <v>302</v>
      </c>
      <c r="AC273" s="31"/>
      <c r="AD273" s="31"/>
      <c r="AE273" s="31"/>
      <c r="AF273" s="31"/>
      <c r="AG273" s="31"/>
      <c r="AH273" s="31"/>
      <c r="AI273" s="31"/>
      <c r="AJ273" s="31"/>
      <c r="AK273" s="31"/>
      <c r="AL273" s="31"/>
      <c r="AM273" s="31"/>
      <c r="AN273" s="31"/>
      <c r="AO273" s="31"/>
      <c r="AP273" s="31"/>
      <c r="AQ273" s="31"/>
      <c r="AR273" s="31"/>
      <c r="AS273" s="31"/>
      <c r="AT273" s="31"/>
      <c r="AU273" s="31"/>
    </row>
    <row r="274" spans="7:47" x14ac:dyDescent="0.25">
      <c r="G274" s="37">
        <f t="shared" si="12"/>
        <v>19</v>
      </c>
      <c r="H274" s="37" t="str">
        <f t="shared" si="14"/>
        <v>K262:K280</v>
      </c>
      <c r="I274" s="33" t="s">
        <v>23</v>
      </c>
      <c r="J274" s="42" t="s">
        <v>55</v>
      </c>
      <c r="K274" s="33" t="s">
        <v>20</v>
      </c>
      <c r="L274" s="42" t="s">
        <v>215</v>
      </c>
      <c r="M274" s="42" t="s">
        <v>305</v>
      </c>
      <c r="N274" s="43" t="str">
        <f t="shared" si="13"/>
        <v>categoryAxis|axisStyle</v>
      </c>
      <c r="O274" s="31" t="s">
        <v>250</v>
      </c>
      <c r="P274" s="31" t="s">
        <v>251</v>
      </c>
      <c r="Q274" s="31" t="s">
        <v>252</v>
      </c>
      <c r="R274" s="31"/>
      <c r="S274" s="31"/>
      <c r="T274" s="31"/>
      <c r="U274" s="31"/>
      <c r="V274" s="31"/>
      <c r="W274" s="31"/>
      <c r="X274" s="31"/>
      <c r="Y274" s="31"/>
      <c r="Z274" s="31"/>
      <c r="AA274" s="31"/>
      <c r="AB274" s="31"/>
      <c r="AC274" s="31"/>
      <c r="AD274" s="31"/>
      <c r="AE274" s="31"/>
      <c r="AF274" s="31"/>
      <c r="AG274" s="31"/>
      <c r="AH274" s="31"/>
      <c r="AI274" s="31"/>
      <c r="AJ274" s="31"/>
      <c r="AK274" s="31"/>
      <c r="AL274" s="31"/>
      <c r="AM274" s="31"/>
      <c r="AN274" s="31"/>
      <c r="AO274" s="31"/>
      <c r="AP274" s="31"/>
      <c r="AQ274" s="31"/>
      <c r="AR274" s="31"/>
      <c r="AS274" s="31"/>
      <c r="AT274" s="31"/>
      <c r="AU274" s="31"/>
    </row>
    <row r="275" spans="7:47" x14ac:dyDescent="0.25">
      <c r="G275" s="37">
        <f t="shared" si="12"/>
        <v>19</v>
      </c>
      <c r="H275" s="37" t="str">
        <f t="shared" si="14"/>
        <v>K262:K280</v>
      </c>
      <c r="I275" s="33" t="s">
        <v>23</v>
      </c>
      <c r="J275" s="42" t="s">
        <v>55</v>
      </c>
      <c r="K275" s="33" t="s">
        <v>16</v>
      </c>
      <c r="L275" s="42" t="s">
        <v>4</v>
      </c>
      <c r="M275" s="42" t="s">
        <v>307</v>
      </c>
      <c r="N275" s="43" t="str">
        <f t="shared" si="13"/>
        <v>categoryAxis|fontSize</v>
      </c>
      <c r="O275" s="31" t="s">
        <v>302</v>
      </c>
      <c r="P275" s="31" t="s">
        <v>302</v>
      </c>
      <c r="Q275" s="31" t="s">
        <v>302</v>
      </c>
      <c r="R275" s="31" t="s">
        <v>302</v>
      </c>
      <c r="S275" s="31" t="s">
        <v>302</v>
      </c>
      <c r="T275" s="31" t="s">
        <v>302</v>
      </c>
      <c r="U275" s="31" t="s">
        <v>302</v>
      </c>
      <c r="V275" s="31" t="s">
        <v>302</v>
      </c>
      <c r="W275" s="31" t="s">
        <v>302</v>
      </c>
      <c r="X275" s="31" t="s">
        <v>302</v>
      </c>
      <c r="Y275" s="31" t="s">
        <v>302</v>
      </c>
      <c r="Z275" s="31" t="s">
        <v>302</v>
      </c>
      <c r="AA275" s="31" t="s">
        <v>302</v>
      </c>
      <c r="AB275" s="31" t="s">
        <v>302</v>
      </c>
      <c r="AC275" s="31"/>
      <c r="AD275" s="31"/>
      <c r="AE275" s="31"/>
      <c r="AF275" s="31"/>
      <c r="AG275" s="31"/>
      <c r="AH275" s="31"/>
      <c r="AI275" s="31"/>
      <c r="AJ275" s="31"/>
      <c r="AK275" s="31"/>
      <c r="AL275" s="31"/>
      <c r="AM275" s="31"/>
      <c r="AN275" s="31"/>
      <c r="AO275" s="31"/>
      <c r="AP275" s="31"/>
      <c r="AQ275" s="31"/>
      <c r="AR275" s="31"/>
      <c r="AS275" s="31"/>
      <c r="AT275" s="31"/>
      <c r="AU275" s="31"/>
    </row>
    <row r="276" spans="7:47" x14ac:dyDescent="0.25">
      <c r="G276" s="37">
        <f t="shared" si="12"/>
        <v>19</v>
      </c>
      <c r="H276" s="37" t="str">
        <f t="shared" si="14"/>
        <v>K262:K280</v>
      </c>
      <c r="I276" s="33" t="s">
        <v>23</v>
      </c>
      <c r="J276" s="42" t="s">
        <v>55</v>
      </c>
      <c r="K276" s="33" t="s">
        <v>14</v>
      </c>
      <c r="L276" s="42" t="s">
        <v>63</v>
      </c>
      <c r="M276" s="42" t="s">
        <v>304</v>
      </c>
      <c r="N276" s="43" t="str">
        <f t="shared" si="13"/>
        <v>categoryAxis|showAxisTitle</v>
      </c>
      <c r="O276" s="31" t="s">
        <v>302</v>
      </c>
      <c r="P276" s="31" t="s">
        <v>302</v>
      </c>
      <c r="Q276" s="31" t="s">
        <v>302</v>
      </c>
      <c r="R276" s="31" t="s">
        <v>302</v>
      </c>
      <c r="S276" s="31" t="s">
        <v>302</v>
      </c>
      <c r="T276" s="31" t="s">
        <v>302</v>
      </c>
      <c r="U276" s="31" t="s">
        <v>302</v>
      </c>
      <c r="V276" s="31" t="s">
        <v>302</v>
      </c>
      <c r="W276" s="31" t="s">
        <v>302</v>
      </c>
      <c r="X276" s="31" t="s">
        <v>302</v>
      </c>
      <c r="Y276" s="31" t="s">
        <v>302</v>
      </c>
      <c r="Z276" s="31" t="s">
        <v>302</v>
      </c>
      <c r="AA276" s="31" t="s">
        <v>302</v>
      </c>
      <c r="AB276" s="31" t="s">
        <v>302</v>
      </c>
      <c r="AC276" s="31"/>
      <c r="AD276" s="31"/>
      <c r="AE276" s="31"/>
      <c r="AF276" s="31"/>
      <c r="AG276" s="31"/>
      <c r="AH276" s="31"/>
      <c r="AI276" s="31"/>
      <c r="AJ276" s="31"/>
      <c r="AK276" s="31"/>
      <c r="AL276" s="31"/>
      <c r="AM276" s="31"/>
      <c r="AN276" s="31"/>
      <c r="AO276" s="31"/>
      <c r="AP276" s="31"/>
      <c r="AQ276" s="31"/>
      <c r="AR276" s="31"/>
      <c r="AS276" s="31"/>
      <c r="AT276" s="31"/>
      <c r="AU276" s="31"/>
    </row>
    <row r="277" spans="7:47" x14ac:dyDescent="0.25">
      <c r="G277" s="37">
        <f t="shared" si="12"/>
        <v>19</v>
      </c>
      <c r="H277" s="37" t="str">
        <f t="shared" si="14"/>
        <v>K262:K280</v>
      </c>
      <c r="I277" s="33" t="s">
        <v>23</v>
      </c>
      <c r="J277" s="42" t="s">
        <v>55</v>
      </c>
      <c r="K277" s="33" t="s">
        <v>21</v>
      </c>
      <c r="L277" s="42" t="s">
        <v>64</v>
      </c>
      <c r="M277" s="42" t="s">
        <v>104</v>
      </c>
      <c r="N277" s="43" t="str">
        <f t="shared" si="13"/>
        <v>categoryAxis|titleColor</v>
      </c>
      <c r="O277" s="31" t="s">
        <v>302</v>
      </c>
      <c r="P277" s="31" t="s">
        <v>302</v>
      </c>
      <c r="Q277" s="31" t="s">
        <v>302</v>
      </c>
      <c r="R277" s="31" t="s">
        <v>302</v>
      </c>
      <c r="S277" s="31" t="s">
        <v>302</v>
      </c>
      <c r="T277" s="31" t="s">
        <v>302</v>
      </c>
      <c r="U277" s="31" t="s">
        <v>302</v>
      </c>
      <c r="V277" s="31" t="s">
        <v>302</v>
      </c>
      <c r="W277" s="31" t="s">
        <v>302</v>
      </c>
      <c r="X277" s="31" t="s">
        <v>302</v>
      </c>
      <c r="Y277" s="31" t="s">
        <v>302</v>
      </c>
      <c r="Z277" s="31" t="s">
        <v>302</v>
      </c>
      <c r="AA277" s="31" t="s">
        <v>302</v>
      </c>
      <c r="AB277" s="31" t="s">
        <v>302</v>
      </c>
      <c r="AC277" s="31"/>
      <c r="AD277" s="31"/>
      <c r="AE277" s="31"/>
      <c r="AF277" s="31"/>
      <c r="AG277" s="31"/>
      <c r="AH277" s="31"/>
      <c r="AI277" s="31"/>
      <c r="AJ277" s="31"/>
      <c r="AK277" s="31"/>
      <c r="AL277" s="31"/>
      <c r="AM277" s="31"/>
      <c r="AN277" s="31"/>
      <c r="AO277" s="31"/>
      <c r="AP277" s="31"/>
      <c r="AQ277" s="31"/>
      <c r="AR277" s="31"/>
      <c r="AS277" s="31"/>
      <c r="AT277" s="31"/>
      <c r="AU277" s="31"/>
    </row>
    <row r="278" spans="7:47" x14ac:dyDescent="0.25">
      <c r="G278" s="37">
        <f t="shared" si="12"/>
        <v>19</v>
      </c>
      <c r="H278" s="37" t="str">
        <f t="shared" si="14"/>
        <v>K262:K280</v>
      </c>
      <c r="I278" s="33" t="s">
        <v>23</v>
      </c>
      <c r="J278" s="42" t="s">
        <v>55</v>
      </c>
      <c r="K278" s="33" t="s">
        <v>22</v>
      </c>
      <c r="L278" s="42" t="s">
        <v>65</v>
      </c>
      <c r="M278" s="42" t="s">
        <v>307</v>
      </c>
      <c r="N278" s="43" t="str">
        <f t="shared" si="13"/>
        <v>categoryAxis|titleFontSize</v>
      </c>
      <c r="O278" s="31" t="s">
        <v>302</v>
      </c>
      <c r="P278" s="31" t="s">
        <v>302</v>
      </c>
      <c r="Q278" s="31" t="s">
        <v>302</v>
      </c>
      <c r="R278" s="31" t="s">
        <v>302</v>
      </c>
      <c r="S278" s="31" t="s">
        <v>302</v>
      </c>
      <c r="T278" s="31" t="s">
        <v>302</v>
      </c>
      <c r="U278" s="31" t="s">
        <v>302</v>
      </c>
      <c r="V278" s="31" t="s">
        <v>302</v>
      </c>
      <c r="W278" s="31" t="s">
        <v>302</v>
      </c>
      <c r="X278" s="31" t="s">
        <v>302</v>
      </c>
      <c r="Y278" s="31" t="s">
        <v>302</v>
      </c>
      <c r="Z278" s="31" t="s">
        <v>302</v>
      </c>
      <c r="AA278" s="31" t="s">
        <v>302</v>
      </c>
      <c r="AB278" s="31" t="s">
        <v>302</v>
      </c>
      <c r="AC278" s="31"/>
      <c r="AD278" s="31"/>
      <c r="AE278" s="31"/>
      <c r="AF278" s="31"/>
      <c r="AG278" s="31"/>
      <c r="AH278" s="31"/>
      <c r="AI278" s="31"/>
      <c r="AJ278" s="31"/>
      <c r="AK278" s="31"/>
      <c r="AL278" s="31"/>
      <c r="AM278" s="31"/>
      <c r="AN278" s="31"/>
      <c r="AO278" s="31"/>
      <c r="AP278" s="31"/>
      <c r="AQ278" s="31"/>
      <c r="AR278" s="31"/>
      <c r="AS278" s="31"/>
      <c r="AT278" s="31"/>
      <c r="AU278" s="31"/>
    </row>
    <row r="279" spans="7:47" x14ac:dyDescent="0.25">
      <c r="G279" s="37">
        <f t="shared" si="12"/>
        <v>19</v>
      </c>
      <c r="H279" s="37" t="str">
        <f t="shared" si="14"/>
        <v>K262:K280</v>
      </c>
      <c r="I279" s="33" t="s">
        <v>23</v>
      </c>
      <c r="J279" s="42" t="s">
        <v>55</v>
      </c>
      <c r="K279" s="33" t="s">
        <v>311</v>
      </c>
      <c r="L279" s="42" t="s">
        <v>223</v>
      </c>
      <c r="M279" s="42" t="s">
        <v>305</v>
      </c>
      <c r="N279" s="43" t="str">
        <f t="shared" si="13"/>
        <v>categoryAxis|axisType</v>
      </c>
      <c r="O279" s="31" t="s">
        <v>249</v>
      </c>
      <c r="P279" s="31" t="s">
        <v>224</v>
      </c>
      <c r="Q279" s="31"/>
      <c r="R279" s="31"/>
      <c r="S279" s="31"/>
      <c r="T279" s="31"/>
      <c r="U279" s="31"/>
      <c r="V279" s="31"/>
      <c r="W279" s="31"/>
      <c r="X279" s="31"/>
      <c r="Y279" s="31"/>
      <c r="Z279" s="31"/>
      <c r="AA279" s="31"/>
      <c r="AB279" s="31"/>
      <c r="AC279" s="31"/>
      <c r="AD279" s="31"/>
      <c r="AE279" s="31"/>
      <c r="AF279" s="31"/>
      <c r="AG279" s="31"/>
      <c r="AH279" s="31"/>
      <c r="AI279" s="31"/>
      <c r="AJ279" s="31"/>
      <c r="AK279" s="31"/>
      <c r="AL279" s="31"/>
      <c r="AM279" s="31"/>
      <c r="AN279" s="31"/>
      <c r="AO279" s="31"/>
      <c r="AP279" s="31"/>
      <c r="AQ279" s="31"/>
      <c r="AR279" s="31"/>
      <c r="AS279" s="31"/>
      <c r="AT279" s="31"/>
      <c r="AU279" s="31"/>
    </row>
    <row r="280" spans="7:47" x14ac:dyDescent="0.25">
      <c r="G280" s="37">
        <f t="shared" si="12"/>
        <v>19</v>
      </c>
      <c r="H280" s="37" t="str">
        <f t="shared" si="14"/>
        <v>K262:K280</v>
      </c>
      <c r="I280" s="33" t="s">
        <v>23</v>
      </c>
      <c r="J280" s="42" t="s">
        <v>55</v>
      </c>
      <c r="K280" s="33" t="s">
        <v>28</v>
      </c>
      <c r="L280" s="42" t="s">
        <v>312</v>
      </c>
      <c r="M280" s="42" t="s">
        <v>310</v>
      </c>
      <c r="N280" s="43" t="str">
        <f t="shared" si="13"/>
        <v>categoryAxis|labelPrecision</v>
      </c>
      <c r="O280" s="31" t="s">
        <v>302</v>
      </c>
      <c r="P280" s="31" t="s">
        <v>302</v>
      </c>
      <c r="Q280" s="31" t="s">
        <v>302</v>
      </c>
      <c r="R280" s="31" t="s">
        <v>302</v>
      </c>
      <c r="S280" s="31" t="s">
        <v>302</v>
      </c>
      <c r="T280" s="31" t="s">
        <v>302</v>
      </c>
      <c r="U280" s="31" t="s">
        <v>302</v>
      </c>
      <c r="V280" s="31" t="s">
        <v>302</v>
      </c>
      <c r="W280" s="31" t="s">
        <v>302</v>
      </c>
      <c r="X280" s="31" t="s">
        <v>302</v>
      </c>
      <c r="Y280" s="31" t="s">
        <v>302</v>
      </c>
      <c r="Z280" s="31" t="s">
        <v>302</v>
      </c>
      <c r="AA280" s="31" t="s">
        <v>302</v>
      </c>
      <c r="AB280" s="31" t="s">
        <v>302</v>
      </c>
      <c r="AC280" s="31"/>
      <c r="AD280" s="31"/>
      <c r="AE280" s="31"/>
      <c r="AF280" s="31"/>
      <c r="AG280" s="31"/>
      <c r="AH280" s="31"/>
      <c r="AI280" s="31"/>
      <c r="AJ280" s="31"/>
      <c r="AK280" s="31"/>
      <c r="AL280" s="31"/>
      <c r="AM280" s="31"/>
      <c r="AN280" s="31"/>
      <c r="AO280" s="31"/>
      <c r="AP280" s="31"/>
      <c r="AQ280" s="31"/>
      <c r="AR280" s="31"/>
      <c r="AS280" s="31"/>
      <c r="AT280" s="31"/>
      <c r="AU280" s="31"/>
    </row>
    <row r="281" spans="7:47" x14ac:dyDescent="0.25">
      <c r="G281" s="37">
        <f t="shared" si="12"/>
        <v>13</v>
      </c>
      <c r="H281" s="37" t="str">
        <f t="shared" si="14"/>
        <v>K281:K293</v>
      </c>
      <c r="I281" s="33" t="s">
        <v>177</v>
      </c>
      <c r="J281" s="42" t="s">
        <v>136</v>
      </c>
      <c r="K281" s="33" t="s">
        <v>15</v>
      </c>
      <c r="L281" s="42" t="s">
        <v>347</v>
      </c>
      <c r="M281" s="42" t="s">
        <v>104</v>
      </c>
      <c r="N281" s="43" t="str">
        <f t="shared" si="13"/>
        <v>xAxisReferenceLine|lineColor</v>
      </c>
      <c r="O281" s="31" t="s">
        <v>302</v>
      </c>
      <c r="P281" s="31" t="s">
        <v>302</v>
      </c>
      <c r="Q281" s="31" t="s">
        <v>302</v>
      </c>
      <c r="R281" s="31" t="s">
        <v>302</v>
      </c>
      <c r="S281" s="31" t="s">
        <v>302</v>
      </c>
      <c r="T281" s="31" t="s">
        <v>302</v>
      </c>
      <c r="U281" s="31" t="s">
        <v>302</v>
      </c>
      <c r="V281" s="31" t="s">
        <v>302</v>
      </c>
      <c r="W281" s="31" t="s">
        <v>302</v>
      </c>
      <c r="X281" s="31" t="s">
        <v>302</v>
      </c>
      <c r="Y281" s="31" t="s">
        <v>302</v>
      </c>
      <c r="Z281" s="31" t="s">
        <v>302</v>
      </c>
      <c r="AA281" s="31" t="s">
        <v>302</v>
      </c>
      <c r="AB281" s="31" t="s">
        <v>302</v>
      </c>
      <c r="AC281" s="31"/>
      <c r="AD281" s="31"/>
      <c r="AE281" s="31"/>
      <c r="AF281" s="31"/>
      <c r="AG281" s="31"/>
      <c r="AH281" s="31"/>
      <c r="AI281" s="31"/>
      <c r="AJ281" s="31"/>
      <c r="AK281" s="31"/>
      <c r="AL281" s="31"/>
      <c r="AM281" s="31"/>
      <c r="AN281" s="31"/>
      <c r="AO281" s="31"/>
      <c r="AP281" s="31"/>
      <c r="AQ281" s="31"/>
      <c r="AR281" s="31"/>
      <c r="AS281" s="31"/>
      <c r="AT281" s="31"/>
      <c r="AU281" s="31"/>
    </row>
    <row r="282" spans="7:47" x14ac:dyDescent="0.25">
      <c r="G282" s="37">
        <f t="shared" si="12"/>
        <v>13</v>
      </c>
      <c r="H282" s="37" t="str">
        <f t="shared" si="14"/>
        <v>K281:K293</v>
      </c>
      <c r="I282" s="33" t="s">
        <v>177</v>
      </c>
      <c r="J282" s="42" t="s">
        <v>136</v>
      </c>
      <c r="K282" s="33" t="s">
        <v>15</v>
      </c>
      <c r="L282" s="42" t="s">
        <v>350</v>
      </c>
      <c r="M282" s="42" t="s">
        <v>104</v>
      </c>
      <c r="N282" s="43" t="str">
        <f t="shared" si="13"/>
        <v>xAxisReferenceLine|dataLabelColor</v>
      </c>
      <c r="O282" s="31" t="s">
        <v>302</v>
      </c>
      <c r="P282" s="31" t="s">
        <v>302</v>
      </c>
      <c r="Q282" s="31" t="s">
        <v>302</v>
      </c>
      <c r="R282" s="31" t="s">
        <v>302</v>
      </c>
      <c r="S282" s="31" t="s">
        <v>302</v>
      </c>
      <c r="T282" s="31" t="s">
        <v>302</v>
      </c>
      <c r="U282" s="31" t="s">
        <v>302</v>
      </c>
      <c r="V282" s="31" t="s">
        <v>302</v>
      </c>
      <c r="W282" s="31" t="s">
        <v>302</v>
      </c>
      <c r="X282" s="31" t="s">
        <v>302</v>
      </c>
      <c r="Y282" s="31" t="s">
        <v>302</v>
      </c>
      <c r="Z282" s="31" t="s">
        <v>302</v>
      </c>
      <c r="AA282" s="31" t="s">
        <v>302</v>
      </c>
      <c r="AB282" s="31" t="s">
        <v>302</v>
      </c>
      <c r="AC282" s="31"/>
      <c r="AD282" s="31"/>
      <c r="AE282" s="31"/>
      <c r="AF282" s="31"/>
      <c r="AG282" s="31"/>
      <c r="AH282" s="31"/>
      <c r="AI282" s="31"/>
      <c r="AJ282" s="31"/>
      <c r="AK282" s="31"/>
      <c r="AL282" s="31"/>
      <c r="AM282" s="31"/>
      <c r="AN282" s="31"/>
      <c r="AO282" s="31"/>
      <c r="AP282" s="31"/>
      <c r="AQ282" s="31"/>
      <c r="AR282" s="31"/>
      <c r="AS282" s="31"/>
      <c r="AT282" s="31"/>
      <c r="AU282" s="31"/>
    </row>
    <row r="283" spans="7:47" x14ac:dyDescent="0.25">
      <c r="G283" s="37">
        <f t="shared" si="12"/>
        <v>13</v>
      </c>
      <c r="H283" s="37" t="str">
        <f t="shared" si="14"/>
        <v>K281:K293</v>
      </c>
      <c r="I283" s="33" t="s">
        <v>177</v>
      </c>
      <c r="J283" s="42" t="s">
        <v>136</v>
      </c>
      <c r="K283" s="33" t="s">
        <v>454</v>
      </c>
      <c r="L283" s="42" t="s">
        <v>349</v>
      </c>
      <c r="M283" s="42" t="s">
        <v>304</v>
      </c>
      <c r="N283" s="43" t="str">
        <f t="shared" si="13"/>
        <v>xAxisReferenceLine|dataLabelShow</v>
      </c>
      <c r="O283" s="31" t="s">
        <v>302</v>
      </c>
      <c r="P283" s="31" t="s">
        <v>302</v>
      </c>
      <c r="Q283" s="31" t="s">
        <v>302</v>
      </c>
      <c r="R283" s="31" t="s">
        <v>302</v>
      </c>
      <c r="S283" s="31" t="s">
        <v>302</v>
      </c>
      <c r="T283" s="31" t="s">
        <v>302</v>
      </c>
      <c r="U283" s="31" t="s">
        <v>302</v>
      </c>
      <c r="V283" s="31" t="s">
        <v>302</v>
      </c>
      <c r="W283" s="31" t="s">
        <v>302</v>
      </c>
      <c r="X283" s="31" t="s">
        <v>302</v>
      </c>
      <c r="Y283" s="31" t="s">
        <v>302</v>
      </c>
      <c r="Z283" s="31" t="s">
        <v>302</v>
      </c>
      <c r="AA283" s="31" t="s">
        <v>302</v>
      </c>
      <c r="AB283" s="31" t="s">
        <v>302</v>
      </c>
      <c r="AC283" s="31"/>
      <c r="AD283" s="31"/>
      <c r="AE283" s="31"/>
      <c r="AF283" s="31"/>
      <c r="AG283" s="31"/>
      <c r="AH283" s="31"/>
      <c r="AI283" s="31"/>
      <c r="AJ283" s="31"/>
      <c r="AK283" s="31"/>
      <c r="AL283" s="31"/>
      <c r="AM283" s="31"/>
      <c r="AN283" s="31"/>
      <c r="AO283" s="31"/>
      <c r="AP283" s="31"/>
      <c r="AQ283" s="31"/>
      <c r="AR283" s="31"/>
      <c r="AS283" s="31"/>
      <c r="AT283" s="31"/>
      <c r="AU283" s="31"/>
    </row>
    <row r="284" spans="7:47" x14ac:dyDescent="0.25">
      <c r="G284" s="37">
        <f t="shared" si="12"/>
        <v>13</v>
      </c>
      <c r="H284" s="37" t="str">
        <f t="shared" si="14"/>
        <v>K281:K293</v>
      </c>
      <c r="I284" s="33" t="s">
        <v>177</v>
      </c>
      <c r="J284" s="42" t="s">
        <v>136</v>
      </c>
      <c r="K284" s="33" t="s">
        <v>455</v>
      </c>
      <c r="L284" s="42" t="s">
        <v>351</v>
      </c>
      <c r="M284" s="42" t="s">
        <v>310</v>
      </c>
      <c r="N284" s="43" t="str">
        <f t="shared" si="13"/>
        <v>xAxisReferenceLine|dataLabelDecimalPoints</v>
      </c>
      <c r="O284" s="31" t="s">
        <v>302</v>
      </c>
      <c r="P284" s="31" t="s">
        <v>302</v>
      </c>
      <c r="Q284" s="31" t="s">
        <v>302</v>
      </c>
      <c r="R284" s="31" t="s">
        <v>302</v>
      </c>
      <c r="S284" s="31" t="s">
        <v>302</v>
      </c>
      <c r="T284" s="31" t="s">
        <v>302</v>
      </c>
      <c r="U284" s="31" t="s">
        <v>302</v>
      </c>
      <c r="V284" s="31" t="s">
        <v>302</v>
      </c>
      <c r="W284" s="31" t="s">
        <v>302</v>
      </c>
      <c r="X284" s="31" t="s">
        <v>302</v>
      </c>
      <c r="Y284" s="31" t="s">
        <v>302</v>
      </c>
      <c r="Z284" s="31" t="s">
        <v>302</v>
      </c>
      <c r="AA284" s="31" t="s">
        <v>302</v>
      </c>
      <c r="AB284" s="31" t="s">
        <v>302</v>
      </c>
      <c r="AC284" s="31"/>
      <c r="AD284" s="31"/>
      <c r="AE284" s="31"/>
      <c r="AF284" s="31"/>
      <c r="AG284" s="31"/>
      <c r="AH284" s="31"/>
      <c r="AI284" s="31"/>
      <c r="AJ284" s="31"/>
      <c r="AK284" s="31"/>
      <c r="AL284" s="31"/>
      <c r="AM284" s="31"/>
      <c r="AN284" s="31"/>
      <c r="AO284" s="31"/>
      <c r="AP284" s="31"/>
      <c r="AQ284" s="31"/>
      <c r="AR284" s="31"/>
      <c r="AS284" s="31"/>
      <c r="AT284" s="31"/>
      <c r="AU284" s="31"/>
    </row>
    <row r="285" spans="7:47" x14ac:dyDescent="0.25">
      <c r="G285" s="37">
        <f t="shared" si="12"/>
        <v>13</v>
      </c>
      <c r="H285" s="37" t="str">
        <f t="shared" si="14"/>
        <v>K281:K293</v>
      </c>
      <c r="I285" s="33" t="s">
        <v>177</v>
      </c>
      <c r="J285" s="42" t="s">
        <v>136</v>
      </c>
      <c r="K285" s="33" t="s">
        <v>27</v>
      </c>
      <c r="L285" s="42" t="s">
        <v>352</v>
      </c>
      <c r="M285" s="42" t="s">
        <v>307</v>
      </c>
      <c r="N285" s="43" t="str">
        <f t="shared" si="13"/>
        <v>xAxisReferenceLine|dataLabelDisplayUnits</v>
      </c>
      <c r="O285" s="31" t="s">
        <v>302</v>
      </c>
      <c r="P285" s="31" t="s">
        <v>302</v>
      </c>
      <c r="Q285" s="31" t="s">
        <v>302</v>
      </c>
      <c r="R285" s="31" t="s">
        <v>302</v>
      </c>
      <c r="S285" s="31" t="s">
        <v>302</v>
      </c>
      <c r="T285" s="31" t="s">
        <v>302</v>
      </c>
      <c r="U285" s="31" t="s">
        <v>302</v>
      </c>
      <c r="V285" s="31" t="s">
        <v>302</v>
      </c>
      <c r="W285" s="31" t="s">
        <v>302</v>
      </c>
      <c r="X285" s="31" t="s">
        <v>302</v>
      </c>
      <c r="Y285" s="31" t="s">
        <v>302</v>
      </c>
      <c r="Z285" s="31" t="s">
        <v>302</v>
      </c>
      <c r="AA285" s="31" t="s">
        <v>302</v>
      </c>
      <c r="AB285" s="31" t="s">
        <v>302</v>
      </c>
      <c r="AC285" s="31"/>
      <c r="AD285" s="31"/>
      <c r="AE285" s="31"/>
      <c r="AF285" s="31"/>
      <c r="AG285" s="31"/>
      <c r="AH285" s="31"/>
      <c r="AI285" s="31"/>
      <c r="AJ285" s="31"/>
      <c r="AK285" s="31"/>
      <c r="AL285" s="31"/>
      <c r="AM285" s="31"/>
      <c r="AN285" s="31"/>
      <c r="AO285" s="31"/>
      <c r="AP285" s="31"/>
      <c r="AQ285" s="31"/>
      <c r="AR285" s="31"/>
      <c r="AS285" s="31"/>
      <c r="AT285" s="31"/>
      <c r="AU285" s="31"/>
    </row>
    <row r="286" spans="7:47" x14ac:dyDescent="0.25">
      <c r="G286" s="37">
        <f t="shared" si="12"/>
        <v>13</v>
      </c>
      <c r="H286" s="37" t="str">
        <f t="shared" si="14"/>
        <v>K281:K293</v>
      </c>
      <c r="I286" s="33" t="s">
        <v>177</v>
      </c>
      <c r="J286" s="42" t="s">
        <v>136</v>
      </c>
      <c r="K286" s="33" t="s">
        <v>456</v>
      </c>
      <c r="L286" s="42" t="s">
        <v>216</v>
      </c>
      <c r="M286" s="42" t="s">
        <v>305</v>
      </c>
      <c r="N286" s="43" t="str">
        <f t="shared" si="13"/>
        <v>xAxisReferenceLine|dataLabelHorizontalPosition</v>
      </c>
      <c r="O286" s="31" t="s">
        <v>269</v>
      </c>
      <c r="P286" s="31" t="s">
        <v>237</v>
      </c>
      <c r="Q286" s="31" t="s">
        <v>270</v>
      </c>
      <c r="R286" s="31" t="s">
        <v>271</v>
      </c>
      <c r="S286" s="31"/>
      <c r="T286" s="31"/>
      <c r="U286" s="31"/>
      <c r="V286" s="31"/>
      <c r="W286" s="31"/>
      <c r="X286" s="31"/>
      <c r="Y286" s="31"/>
      <c r="Z286" s="31"/>
      <c r="AA286" s="31"/>
      <c r="AB286" s="31"/>
      <c r="AC286" s="31"/>
      <c r="AD286" s="31"/>
      <c r="AE286" s="31"/>
      <c r="AF286" s="31"/>
      <c r="AG286" s="31"/>
      <c r="AH286" s="31"/>
      <c r="AI286" s="31"/>
      <c r="AJ286" s="31"/>
      <c r="AK286" s="31"/>
      <c r="AL286" s="31"/>
      <c r="AM286" s="31"/>
      <c r="AN286" s="31"/>
      <c r="AO286" s="31"/>
      <c r="AP286" s="31"/>
      <c r="AQ286" s="31"/>
      <c r="AR286" s="31"/>
      <c r="AS286" s="31"/>
      <c r="AT286" s="31"/>
      <c r="AU286" s="31"/>
    </row>
    <row r="287" spans="7:47" x14ac:dyDescent="0.25">
      <c r="G287" s="37">
        <f t="shared" si="12"/>
        <v>13</v>
      </c>
      <c r="H287" s="37" t="str">
        <f t="shared" si="14"/>
        <v>K281:K293</v>
      </c>
      <c r="I287" s="33" t="s">
        <v>177</v>
      </c>
      <c r="J287" s="42" t="s">
        <v>136</v>
      </c>
      <c r="K287" s="33" t="s">
        <v>30</v>
      </c>
      <c r="L287" s="42" t="s">
        <v>231</v>
      </c>
      <c r="M287" s="42" t="s">
        <v>305</v>
      </c>
      <c r="N287" s="43" t="str">
        <f t="shared" si="13"/>
        <v>xAxisReferenceLine|style</v>
      </c>
      <c r="O287" s="31" t="s">
        <v>291</v>
      </c>
      <c r="P287" s="31" t="s">
        <v>292</v>
      </c>
      <c r="Q287" s="31" t="s">
        <v>293</v>
      </c>
      <c r="R287" s="31" t="s">
        <v>294</v>
      </c>
      <c r="S287" s="31" t="s">
        <v>295</v>
      </c>
      <c r="T287" s="31"/>
      <c r="U287" s="31"/>
      <c r="V287" s="31"/>
      <c r="W287" s="31"/>
      <c r="X287" s="31"/>
      <c r="Y287" s="31"/>
      <c r="Z287" s="31"/>
      <c r="AA287" s="31"/>
      <c r="AB287" s="31"/>
      <c r="AC287" s="31"/>
      <c r="AD287" s="31"/>
      <c r="AE287" s="31"/>
      <c r="AF287" s="31"/>
      <c r="AG287" s="31"/>
      <c r="AH287" s="31"/>
      <c r="AI287" s="31"/>
      <c r="AJ287" s="31"/>
      <c r="AK287" s="31"/>
      <c r="AL287" s="31"/>
      <c r="AM287" s="31"/>
      <c r="AN287" s="31"/>
      <c r="AO287" s="31"/>
      <c r="AP287" s="31"/>
      <c r="AQ287" s="31"/>
      <c r="AR287" s="31"/>
      <c r="AS287" s="31"/>
      <c r="AT287" s="31"/>
      <c r="AU287" s="31"/>
    </row>
    <row r="288" spans="7:47" x14ac:dyDescent="0.25">
      <c r="G288" s="37">
        <f t="shared" si="12"/>
        <v>13</v>
      </c>
      <c r="H288" s="37" t="str">
        <f t="shared" si="14"/>
        <v>K281:K293</v>
      </c>
      <c r="I288" s="33" t="s">
        <v>177</v>
      </c>
      <c r="J288" s="42" t="s">
        <v>136</v>
      </c>
      <c r="K288" s="33" t="s">
        <v>469</v>
      </c>
      <c r="L288" s="42" t="s">
        <v>375</v>
      </c>
      <c r="M288" s="42" t="s">
        <v>304</v>
      </c>
      <c r="N288" s="43" t="str">
        <f t="shared" si="13"/>
        <v>xAxisReferenceLine|manualZoom</v>
      </c>
      <c r="O288" s="31" t="s">
        <v>302</v>
      </c>
      <c r="P288" s="31" t="s">
        <v>302</v>
      </c>
      <c r="Q288" s="31" t="s">
        <v>302</v>
      </c>
      <c r="R288" s="31" t="s">
        <v>302</v>
      </c>
      <c r="S288" s="31" t="s">
        <v>302</v>
      </c>
      <c r="T288" s="31" t="s">
        <v>302</v>
      </c>
      <c r="U288" s="31" t="s">
        <v>302</v>
      </c>
      <c r="V288" s="31" t="s">
        <v>302</v>
      </c>
      <c r="W288" s="31" t="s">
        <v>302</v>
      </c>
      <c r="X288" s="31" t="s">
        <v>302</v>
      </c>
      <c r="Y288" s="31" t="s">
        <v>302</v>
      </c>
      <c r="Z288" s="31" t="s">
        <v>302</v>
      </c>
      <c r="AA288" s="31" t="s">
        <v>302</v>
      </c>
      <c r="AB288" s="31" t="s">
        <v>302</v>
      </c>
      <c r="AC288" s="31"/>
      <c r="AD288" s="31"/>
      <c r="AE288" s="31"/>
      <c r="AF288" s="31"/>
      <c r="AG288" s="31"/>
      <c r="AH288" s="31"/>
      <c r="AI288" s="31"/>
      <c r="AJ288" s="31"/>
      <c r="AK288" s="31"/>
      <c r="AL288" s="31"/>
      <c r="AM288" s="31"/>
      <c r="AN288" s="31"/>
      <c r="AO288" s="31"/>
      <c r="AP288" s="31"/>
      <c r="AQ288" s="31"/>
      <c r="AR288" s="31"/>
      <c r="AS288" s="31"/>
      <c r="AT288" s="31"/>
      <c r="AU288" s="31"/>
    </row>
    <row r="289" spans="7:47" x14ac:dyDescent="0.25">
      <c r="G289" s="37">
        <f t="shared" si="12"/>
        <v>13</v>
      </c>
      <c r="H289" s="37" t="str">
        <f t="shared" si="14"/>
        <v>K281:K293</v>
      </c>
      <c r="I289" s="33" t="s">
        <v>177</v>
      </c>
      <c r="J289" s="42" t="s">
        <v>136</v>
      </c>
      <c r="K289" s="33" t="s">
        <v>13</v>
      </c>
      <c r="L289" s="42" t="s">
        <v>52</v>
      </c>
      <c r="M289" s="42" t="s">
        <v>305</v>
      </c>
      <c r="N289" s="43" t="str">
        <f t="shared" si="13"/>
        <v>xAxisReferenceLine|position</v>
      </c>
      <c r="O289" s="31" t="s">
        <v>267</v>
      </c>
      <c r="P289" s="31" t="s">
        <v>268</v>
      </c>
      <c r="Q289" s="31"/>
      <c r="R289" s="31"/>
      <c r="S289" s="31"/>
      <c r="T289" s="31"/>
      <c r="U289" s="31"/>
      <c r="V289" s="31"/>
      <c r="W289" s="31"/>
      <c r="X289" s="31"/>
      <c r="Y289" s="31"/>
      <c r="Z289" s="31"/>
      <c r="AA289" s="31"/>
      <c r="AB289" s="31"/>
      <c r="AC289" s="31"/>
      <c r="AD289" s="31"/>
      <c r="AE289" s="31"/>
      <c r="AF289" s="31"/>
      <c r="AG289" s="31"/>
      <c r="AH289" s="31"/>
      <c r="AI289" s="31"/>
      <c r="AJ289" s="31"/>
      <c r="AK289" s="31"/>
      <c r="AL289" s="31"/>
      <c r="AM289" s="31"/>
      <c r="AN289" s="31"/>
      <c r="AO289" s="31"/>
      <c r="AP289" s="31"/>
      <c r="AQ289" s="31"/>
      <c r="AR289" s="31"/>
      <c r="AS289" s="31"/>
      <c r="AT289" s="31"/>
      <c r="AU289" s="31"/>
    </row>
    <row r="290" spans="7:47" x14ac:dyDescent="0.25">
      <c r="G290" s="37">
        <f t="shared" si="12"/>
        <v>13</v>
      </c>
      <c r="H290" s="37" t="str">
        <f t="shared" si="14"/>
        <v>K281:K293</v>
      </c>
      <c r="I290" s="33" t="s">
        <v>177</v>
      </c>
      <c r="J290" s="42" t="s">
        <v>136</v>
      </c>
      <c r="K290" s="33" t="s">
        <v>213</v>
      </c>
      <c r="L290" s="42" t="s">
        <v>54</v>
      </c>
      <c r="M290" s="42" t="s">
        <v>304</v>
      </c>
      <c r="N290" s="43" t="str">
        <f t="shared" si="13"/>
        <v>xAxisReferenceLine|show</v>
      </c>
      <c r="O290" s="31" t="s">
        <v>302</v>
      </c>
      <c r="P290" s="31" t="s">
        <v>302</v>
      </c>
      <c r="Q290" s="31" t="s">
        <v>302</v>
      </c>
      <c r="R290" s="31" t="s">
        <v>302</v>
      </c>
      <c r="S290" s="31" t="s">
        <v>302</v>
      </c>
      <c r="T290" s="31" t="s">
        <v>302</v>
      </c>
      <c r="U290" s="31" t="s">
        <v>302</v>
      </c>
      <c r="V290" s="31" t="s">
        <v>302</v>
      </c>
      <c r="W290" s="31" t="s">
        <v>302</v>
      </c>
      <c r="X290" s="31" t="s">
        <v>302</v>
      </c>
      <c r="Y290" s="31" t="s">
        <v>302</v>
      </c>
      <c r="Z290" s="31" t="s">
        <v>302</v>
      </c>
      <c r="AA290" s="31" t="s">
        <v>302</v>
      </c>
      <c r="AB290" s="31" t="s">
        <v>302</v>
      </c>
      <c r="AC290" s="31"/>
      <c r="AD290" s="31"/>
      <c r="AE290" s="31"/>
      <c r="AF290" s="31"/>
      <c r="AG290" s="31"/>
      <c r="AH290" s="31"/>
      <c r="AI290" s="31"/>
      <c r="AJ290" s="31"/>
      <c r="AK290" s="31"/>
      <c r="AL290" s="31"/>
      <c r="AM290" s="31"/>
      <c r="AN290" s="31"/>
      <c r="AO290" s="31"/>
      <c r="AP290" s="31"/>
      <c r="AQ290" s="31"/>
      <c r="AR290" s="31"/>
      <c r="AS290" s="31"/>
      <c r="AT290" s="31"/>
      <c r="AU290" s="31"/>
    </row>
    <row r="291" spans="7:47" x14ac:dyDescent="0.25">
      <c r="G291" s="37">
        <f t="shared" si="12"/>
        <v>13</v>
      </c>
      <c r="H291" s="37" t="str">
        <f t="shared" si="14"/>
        <v>K281:K293</v>
      </c>
      <c r="I291" s="33" t="s">
        <v>177</v>
      </c>
      <c r="J291" s="42" t="s">
        <v>136</v>
      </c>
      <c r="K291" s="33" t="s">
        <v>32</v>
      </c>
      <c r="L291" s="42" t="s">
        <v>208</v>
      </c>
      <c r="M291" s="42" t="s">
        <v>310</v>
      </c>
      <c r="N291" s="43" t="str">
        <f t="shared" si="13"/>
        <v>xAxisReferenceLine|transparency</v>
      </c>
      <c r="O291" s="31" t="s">
        <v>302</v>
      </c>
      <c r="P291" s="31" t="s">
        <v>302</v>
      </c>
      <c r="Q291" s="31" t="s">
        <v>302</v>
      </c>
      <c r="R291" s="31" t="s">
        <v>302</v>
      </c>
      <c r="S291" s="31" t="s">
        <v>302</v>
      </c>
      <c r="T291" s="31" t="s">
        <v>302</v>
      </c>
      <c r="U291" s="31" t="s">
        <v>302</v>
      </c>
      <c r="V291" s="31" t="s">
        <v>302</v>
      </c>
      <c r="W291" s="31" t="s">
        <v>302</v>
      </c>
      <c r="X291" s="31" t="s">
        <v>302</v>
      </c>
      <c r="Y291" s="31" t="s">
        <v>302</v>
      </c>
      <c r="Z291" s="31" t="s">
        <v>302</v>
      </c>
      <c r="AA291" s="31" t="s">
        <v>302</v>
      </c>
      <c r="AB291" s="31" t="s">
        <v>302</v>
      </c>
      <c r="AC291" s="31"/>
      <c r="AD291" s="31"/>
      <c r="AE291" s="31"/>
      <c r="AF291" s="31"/>
      <c r="AG291" s="31"/>
      <c r="AH291" s="31"/>
      <c r="AI291" s="31"/>
      <c r="AJ291" s="31"/>
      <c r="AK291" s="31"/>
      <c r="AL291" s="31"/>
      <c r="AM291" s="31"/>
      <c r="AN291" s="31"/>
      <c r="AO291" s="31"/>
      <c r="AP291" s="31"/>
      <c r="AQ291" s="31"/>
      <c r="AR291" s="31"/>
      <c r="AS291" s="31"/>
      <c r="AT291" s="31"/>
      <c r="AU291" s="31"/>
    </row>
    <row r="292" spans="7:47" x14ac:dyDescent="0.25">
      <c r="G292" s="37">
        <f t="shared" si="12"/>
        <v>13</v>
      </c>
      <c r="H292" s="37" t="str">
        <f t="shared" si="14"/>
        <v>K281:K293</v>
      </c>
      <c r="I292" s="33" t="s">
        <v>177</v>
      </c>
      <c r="J292" s="42" t="s">
        <v>136</v>
      </c>
      <c r="K292" s="33" t="s">
        <v>232</v>
      </c>
      <c r="L292" s="42" t="s">
        <v>221</v>
      </c>
      <c r="M292" s="42" t="s">
        <v>310</v>
      </c>
      <c r="N292" s="43" t="str">
        <f t="shared" si="13"/>
        <v>xAxisReferenceLine|value</v>
      </c>
      <c r="O292" s="31" t="s">
        <v>302</v>
      </c>
      <c r="P292" s="31" t="s">
        <v>302</v>
      </c>
      <c r="Q292" s="31" t="s">
        <v>302</v>
      </c>
      <c r="R292" s="31" t="s">
        <v>302</v>
      </c>
      <c r="S292" s="31" t="s">
        <v>302</v>
      </c>
      <c r="T292" s="31" t="s">
        <v>302</v>
      </c>
      <c r="U292" s="31" t="s">
        <v>302</v>
      </c>
      <c r="V292" s="31" t="s">
        <v>302</v>
      </c>
      <c r="W292" s="31" t="s">
        <v>302</v>
      </c>
      <c r="X292" s="31" t="s">
        <v>302</v>
      </c>
      <c r="Y292" s="31" t="s">
        <v>302</v>
      </c>
      <c r="Z292" s="31" t="s">
        <v>302</v>
      </c>
      <c r="AA292" s="31" t="s">
        <v>302</v>
      </c>
      <c r="AB292" s="31" t="s">
        <v>302</v>
      </c>
      <c r="AC292" s="31"/>
      <c r="AD292" s="31"/>
      <c r="AE292" s="31"/>
      <c r="AF292" s="31"/>
      <c r="AG292" s="31"/>
      <c r="AH292" s="31"/>
      <c r="AI292" s="31"/>
      <c r="AJ292" s="31"/>
      <c r="AK292" s="31"/>
      <c r="AL292" s="31"/>
      <c r="AM292" s="31"/>
      <c r="AN292" s="31"/>
      <c r="AO292" s="31"/>
      <c r="AP292" s="31"/>
      <c r="AQ292" s="31"/>
      <c r="AR292" s="31"/>
      <c r="AS292" s="31"/>
      <c r="AT292" s="31"/>
      <c r="AU292" s="31"/>
    </row>
    <row r="293" spans="7:47" x14ac:dyDescent="0.25">
      <c r="G293" s="37">
        <f t="shared" si="12"/>
        <v>13</v>
      </c>
      <c r="H293" s="37" t="str">
        <f t="shared" si="14"/>
        <v>K281:K293</v>
      </c>
      <c r="I293" s="33" t="s">
        <v>177</v>
      </c>
      <c r="J293" s="42" t="s">
        <v>136</v>
      </c>
      <c r="K293" s="33" t="s">
        <v>457</v>
      </c>
      <c r="L293" s="42" t="s">
        <v>217</v>
      </c>
      <c r="M293" s="42" t="s">
        <v>305</v>
      </c>
      <c r="N293" s="43" t="str">
        <f t="shared" si="13"/>
        <v>xAxisReferenceLine|dataLabelVerticalPosition</v>
      </c>
      <c r="O293" s="31"/>
      <c r="P293" s="31"/>
      <c r="Q293" s="31"/>
      <c r="R293" s="31"/>
      <c r="S293" s="31"/>
      <c r="T293" s="31"/>
      <c r="U293" s="31"/>
      <c r="V293" s="31"/>
      <c r="W293" s="31"/>
      <c r="X293" s="31"/>
      <c r="Y293" s="31"/>
      <c r="Z293" s="31"/>
      <c r="AA293" s="31"/>
      <c r="AB293" s="31"/>
      <c r="AC293" s="31"/>
      <c r="AD293" s="31"/>
      <c r="AE293" s="31"/>
      <c r="AF293" s="31"/>
      <c r="AG293" s="31"/>
      <c r="AH293" s="31"/>
      <c r="AI293" s="31"/>
      <c r="AJ293" s="31"/>
      <c r="AK293" s="31"/>
      <c r="AL293" s="31"/>
      <c r="AM293" s="31"/>
      <c r="AN293" s="31"/>
      <c r="AO293" s="31"/>
      <c r="AP293" s="31"/>
      <c r="AQ293" s="31"/>
      <c r="AR293" s="31"/>
      <c r="AS293" s="31"/>
      <c r="AT293" s="31"/>
      <c r="AU293" s="31"/>
    </row>
    <row r="294" spans="7:47" x14ac:dyDescent="0.25">
      <c r="G294" s="37">
        <f t="shared" si="12"/>
        <v>33</v>
      </c>
      <c r="H294" s="37" t="str">
        <f t="shared" si="14"/>
        <v>K294:K326</v>
      </c>
      <c r="I294" s="33" t="s">
        <v>18</v>
      </c>
      <c r="J294" s="42" t="s">
        <v>133</v>
      </c>
      <c r="K294" s="33" t="s">
        <v>439</v>
      </c>
      <c r="L294" s="42" t="s">
        <v>320</v>
      </c>
      <c r="M294" s="42" t="s">
        <v>304</v>
      </c>
      <c r="N294" s="43" t="str">
        <f t="shared" si="13"/>
        <v>valueAxis|alignZeros</v>
      </c>
      <c r="O294" s="31" t="s">
        <v>302</v>
      </c>
      <c r="P294" s="31" t="s">
        <v>302</v>
      </c>
      <c r="Q294" s="31" t="s">
        <v>302</v>
      </c>
      <c r="R294" s="31" t="s">
        <v>302</v>
      </c>
      <c r="S294" s="31" t="s">
        <v>302</v>
      </c>
      <c r="T294" s="31" t="s">
        <v>302</v>
      </c>
      <c r="U294" s="31" t="s">
        <v>302</v>
      </c>
      <c r="V294" s="31" t="s">
        <v>302</v>
      </c>
      <c r="W294" s="31" t="s">
        <v>302</v>
      </c>
      <c r="X294" s="31" t="s">
        <v>302</v>
      </c>
      <c r="Y294" s="31" t="s">
        <v>302</v>
      </c>
      <c r="Z294" s="31" t="s">
        <v>302</v>
      </c>
      <c r="AA294" s="31" t="s">
        <v>302</v>
      </c>
      <c r="AB294" s="31" t="s">
        <v>302</v>
      </c>
      <c r="AC294" s="31"/>
      <c r="AD294" s="31"/>
      <c r="AE294" s="31"/>
      <c r="AF294" s="31"/>
      <c r="AG294" s="31"/>
      <c r="AH294" s="31"/>
      <c r="AI294" s="31"/>
      <c r="AJ294" s="31"/>
      <c r="AK294" s="31"/>
      <c r="AL294" s="31"/>
      <c r="AM294" s="31"/>
      <c r="AN294" s="31"/>
      <c r="AO294" s="31"/>
      <c r="AP294" s="31"/>
      <c r="AQ294" s="31"/>
      <c r="AR294" s="31"/>
      <c r="AS294" s="31"/>
      <c r="AT294" s="31"/>
      <c r="AU294" s="31"/>
    </row>
    <row r="295" spans="7:47" x14ac:dyDescent="0.25">
      <c r="G295" s="37">
        <f t="shared" si="12"/>
        <v>33</v>
      </c>
      <c r="H295" s="37" t="str">
        <f t="shared" si="14"/>
        <v>K294:K326</v>
      </c>
      <c r="I295" s="33" t="s">
        <v>18</v>
      </c>
      <c r="J295" s="42" t="s">
        <v>133</v>
      </c>
      <c r="K295" s="33" t="s">
        <v>15</v>
      </c>
      <c r="L295" s="42" t="s">
        <v>58</v>
      </c>
      <c r="M295" s="42" t="s">
        <v>104</v>
      </c>
      <c r="N295" s="43" t="str">
        <f t="shared" si="13"/>
        <v>valueAxis|labelColor</v>
      </c>
      <c r="O295" s="31" t="s">
        <v>302</v>
      </c>
      <c r="P295" s="31" t="s">
        <v>302</v>
      </c>
      <c r="Q295" s="31" t="s">
        <v>302</v>
      </c>
      <c r="R295" s="31" t="s">
        <v>302</v>
      </c>
      <c r="S295" s="31" t="s">
        <v>302</v>
      </c>
      <c r="T295" s="31" t="s">
        <v>302</v>
      </c>
      <c r="U295" s="31" t="s">
        <v>302</v>
      </c>
      <c r="V295" s="31" t="s">
        <v>302</v>
      </c>
      <c r="W295" s="31" t="s">
        <v>302</v>
      </c>
      <c r="X295" s="31" t="s">
        <v>302</v>
      </c>
      <c r="Y295" s="31" t="s">
        <v>302</v>
      </c>
      <c r="Z295" s="31" t="s">
        <v>302</v>
      </c>
      <c r="AA295" s="31" t="s">
        <v>302</v>
      </c>
      <c r="AB295" s="31" t="s">
        <v>302</v>
      </c>
      <c r="AC295" s="31"/>
      <c r="AD295" s="31"/>
      <c r="AE295" s="31"/>
      <c r="AF295" s="31"/>
      <c r="AG295" s="31"/>
      <c r="AH295" s="31"/>
      <c r="AI295" s="31"/>
      <c r="AJ295" s="31"/>
      <c r="AK295" s="31"/>
      <c r="AL295" s="31"/>
      <c r="AM295" s="31"/>
      <c r="AN295" s="31"/>
      <c r="AO295" s="31"/>
      <c r="AP295" s="31"/>
      <c r="AQ295" s="31"/>
      <c r="AR295" s="31"/>
      <c r="AS295" s="31"/>
      <c r="AT295" s="31"/>
      <c r="AU295" s="31"/>
    </row>
    <row r="296" spans="7:47" x14ac:dyDescent="0.25">
      <c r="G296" s="37">
        <f t="shared" si="12"/>
        <v>33</v>
      </c>
      <c r="H296" s="37" t="str">
        <f t="shared" si="14"/>
        <v>K294:K326</v>
      </c>
      <c r="I296" s="33" t="s">
        <v>18</v>
      </c>
      <c r="J296" s="42" t="s">
        <v>133</v>
      </c>
      <c r="K296" s="33" t="s">
        <v>15</v>
      </c>
      <c r="L296" s="42" t="s">
        <v>325</v>
      </c>
      <c r="M296" s="42" t="s">
        <v>104</v>
      </c>
      <c r="N296" s="43" t="str">
        <f t="shared" si="13"/>
        <v>valueAxis|secLabelColor</v>
      </c>
      <c r="O296" s="31" t="s">
        <v>302</v>
      </c>
      <c r="P296" s="31" t="s">
        <v>302</v>
      </c>
      <c r="Q296" s="31" t="s">
        <v>302</v>
      </c>
      <c r="R296" s="31" t="s">
        <v>302</v>
      </c>
      <c r="S296" s="31" t="s">
        <v>302</v>
      </c>
      <c r="T296" s="31" t="s">
        <v>302</v>
      </c>
      <c r="U296" s="31" t="s">
        <v>302</v>
      </c>
      <c r="V296" s="31" t="s">
        <v>302</v>
      </c>
      <c r="W296" s="31" t="s">
        <v>302</v>
      </c>
      <c r="X296" s="31" t="s">
        <v>302</v>
      </c>
      <c r="Y296" s="31" t="s">
        <v>302</v>
      </c>
      <c r="Z296" s="31" t="s">
        <v>302</v>
      </c>
      <c r="AA296" s="31" t="s">
        <v>302</v>
      </c>
      <c r="AB296" s="31" t="s">
        <v>302</v>
      </c>
      <c r="AC296" s="31"/>
      <c r="AD296" s="31"/>
      <c r="AE296" s="31"/>
      <c r="AF296" s="31"/>
      <c r="AG296" s="31"/>
      <c r="AH296" s="31"/>
      <c r="AI296" s="31"/>
      <c r="AJ296" s="31"/>
      <c r="AK296" s="31"/>
      <c r="AL296" s="31"/>
      <c r="AM296" s="31"/>
      <c r="AN296" s="31"/>
      <c r="AO296" s="31"/>
      <c r="AP296" s="31"/>
      <c r="AQ296" s="31"/>
      <c r="AR296" s="31"/>
      <c r="AS296" s="31"/>
      <c r="AT296" s="31"/>
      <c r="AU296" s="31"/>
    </row>
    <row r="297" spans="7:47" x14ac:dyDescent="0.25">
      <c r="G297" s="37">
        <f t="shared" si="12"/>
        <v>33</v>
      </c>
      <c r="H297" s="37" t="str">
        <f t="shared" si="14"/>
        <v>K294:K326</v>
      </c>
      <c r="I297" s="33" t="s">
        <v>18</v>
      </c>
      <c r="J297" s="42" t="s">
        <v>133</v>
      </c>
      <c r="K297" s="33" t="s">
        <v>27</v>
      </c>
      <c r="L297" s="42" t="s">
        <v>214</v>
      </c>
      <c r="M297" s="42" t="s">
        <v>307</v>
      </c>
      <c r="N297" s="43" t="str">
        <f t="shared" si="13"/>
        <v>valueAxis|labelDisplayUnits</v>
      </c>
      <c r="O297" s="31" t="s">
        <v>302</v>
      </c>
      <c r="P297" s="31" t="s">
        <v>302</v>
      </c>
      <c r="Q297" s="31" t="s">
        <v>302</v>
      </c>
      <c r="R297" s="31" t="s">
        <v>302</v>
      </c>
      <c r="S297" s="31" t="s">
        <v>302</v>
      </c>
      <c r="T297" s="31" t="s">
        <v>302</v>
      </c>
      <c r="U297" s="31" t="s">
        <v>302</v>
      </c>
      <c r="V297" s="31" t="s">
        <v>302</v>
      </c>
      <c r="W297" s="31" t="s">
        <v>302</v>
      </c>
      <c r="X297" s="31" t="s">
        <v>302</v>
      </c>
      <c r="Y297" s="31" t="s">
        <v>302</v>
      </c>
      <c r="Z297" s="31" t="s">
        <v>302</v>
      </c>
      <c r="AA297" s="31" t="s">
        <v>302</v>
      </c>
      <c r="AB297" s="31" t="s">
        <v>302</v>
      </c>
      <c r="AC297" s="31"/>
      <c r="AD297" s="31"/>
      <c r="AE297" s="31"/>
      <c r="AF297" s="31"/>
      <c r="AG297" s="31"/>
      <c r="AH297" s="31"/>
      <c r="AI297" s="31"/>
      <c r="AJ297" s="31"/>
      <c r="AK297" s="31"/>
      <c r="AL297" s="31"/>
      <c r="AM297" s="31"/>
      <c r="AN297" s="31"/>
      <c r="AO297" s="31"/>
      <c r="AP297" s="31"/>
      <c r="AQ297" s="31"/>
      <c r="AR297" s="31"/>
      <c r="AS297" s="31"/>
      <c r="AT297" s="31"/>
      <c r="AU297" s="31"/>
    </row>
    <row r="298" spans="7:47" x14ac:dyDescent="0.25">
      <c r="G298" s="37">
        <f t="shared" si="12"/>
        <v>33</v>
      </c>
      <c r="H298" s="37" t="str">
        <f t="shared" si="14"/>
        <v>K294:K326</v>
      </c>
      <c r="I298" s="33" t="s">
        <v>18</v>
      </c>
      <c r="J298" s="42" t="s">
        <v>133</v>
      </c>
      <c r="K298" s="33" t="s">
        <v>27</v>
      </c>
      <c r="L298" s="42" t="s">
        <v>328</v>
      </c>
      <c r="M298" s="42" t="s">
        <v>307</v>
      </c>
      <c r="N298" s="43" t="str">
        <f t="shared" si="13"/>
        <v>valueAxis|secLabelDisplayUnits</v>
      </c>
      <c r="O298" s="31" t="s">
        <v>302</v>
      </c>
      <c r="P298" s="31" t="s">
        <v>302</v>
      </c>
      <c r="Q298" s="31" t="s">
        <v>302</v>
      </c>
      <c r="R298" s="31" t="s">
        <v>302</v>
      </c>
      <c r="S298" s="31" t="s">
        <v>302</v>
      </c>
      <c r="T298" s="31" t="s">
        <v>302</v>
      </c>
      <c r="U298" s="31" t="s">
        <v>302</v>
      </c>
      <c r="V298" s="31" t="s">
        <v>302</v>
      </c>
      <c r="W298" s="31" t="s">
        <v>302</v>
      </c>
      <c r="X298" s="31" t="s">
        <v>302</v>
      </c>
      <c r="Y298" s="31" t="s">
        <v>302</v>
      </c>
      <c r="Z298" s="31" t="s">
        <v>302</v>
      </c>
      <c r="AA298" s="31" t="s">
        <v>302</v>
      </c>
      <c r="AB298" s="31" t="s">
        <v>302</v>
      </c>
      <c r="AC298" s="31"/>
      <c r="AD298" s="31"/>
      <c r="AE298" s="31"/>
      <c r="AF298" s="31"/>
      <c r="AG298" s="31"/>
      <c r="AH298" s="31"/>
      <c r="AI298" s="31"/>
      <c r="AJ298" s="31"/>
      <c r="AK298" s="31"/>
      <c r="AL298" s="31"/>
      <c r="AM298" s="31"/>
      <c r="AN298" s="31"/>
      <c r="AO298" s="31"/>
      <c r="AP298" s="31"/>
      <c r="AQ298" s="31"/>
      <c r="AR298" s="31"/>
      <c r="AS298" s="31"/>
      <c r="AT298" s="31"/>
      <c r="AU298" s="31"/>
    </row>
    <row r="299" spans="7:47" x14ac:dyDescent="0.25">
      <c r="G299" s="37">
        <f t="shared" si="12"/>
        <v>33</v>
      </c>
      <c r="H299" s="37" t="str">
        <f t="shared" si="14"/>
        <v>K294:K326</v>
      </c>
      <c r="I299" s="33" t="s">
        <v>18</v>
      </c>
      <c r="J299" s="42" t="s">
        <v>133</v>
      </c>
      <c r="K299" s="33" t="s">
        <v>26</v>
      </c>
      <c r="L299" s="42" t="s">
        <v>207</v>
      </c>
      <c r="M299" s="42" t="s">
        <v>310</v>
      </c>
      <c r="N299" s="43" t="str">
        <f t="shared" si="13"/>
        <v>valueAxis|end</v>
      </c>
      <c r="O299" s="31" t="s">
        <v>302</v>
      </c>
      <c r="P299" s="31" t="s">
        <v>302</v>
      </c>
      <c r="Q299" s="31" t="s">
        <v>302</v>
      </c>
      <c r="R299" s="31" t="s">
        <v>302</v>
      </c>
      <c r="S299" s="31" t="s">
        <v>302</v>
      </c>
      <c r="T299" s="31" t="s">
        <v>302</v>
      </c>
      <c r="U299" s="31" t="s">
        <v>302</v>
      </c>
      <c r="V299" s="31" t="s">
        <v>302</v>
      </c>
      <c r="W299" s="31" t="s">
        <v>302</v>
      </c>
      <c r="X299" s="31" t="s">
        <v>302</v>
      </c>
      <c r="Y299" s="31" t="s">
        <v>302</v>
      </c>
      <c r="Z299" s="31" t="s">
        <v>302</v>
      </c>
      <c r="AA299" s="31" t="s">
        <v>302</v>
      </c>
      <c r="AB299" s="31" t="s">
        <v>302</v>
      </c>
      <c r="AC299" s="31"/>
      <c r="AD299" s="31"/>
      <c r="AE299" s="31"/>
      <c r="AF299" s="31"/>
      <c r="AG299" s="31"/>
      <c r="AH299" s="31"/>
      <c r="AI299" s="31"/>
      <c r="AJ299" s="31"/>
      <c r="AK299" s="31"/>
      <c r="AL299" s="31"/>
      <c r="AM299" s="31"/>
      <c r="AN299" s="31"/>
      <c r="AO299" s="31"/>
      <c r="AP299" s="31"/>
      <c r="AQ299" s="31"/>
      <c r="AR299" s="31"/>
      <c r="AS299" s="31"/>
      <c r="AT299" s="31"/>
      <c r="AU299" s="31"/>
    </row>
    <row r="300" spans="7:47" x14ac:dyDescent="0.25">
      <c r="G300" s="37">
        <f t="shared" si="12"/>
        <v>33</v>
      </c>
      <c r="H300" s="37" t="str">
        <f t="shared" si="14"/>
        <v>K294:K326</v>
      </c>
      <c r="I300" s="33" t="s">
        <v>18</v>
      </c>
      <c r="J300" s="42" t="s">
        <v>133</v>
      </c>
      <c r="K300" s="33" t="s">
        <v>26</v>
      </c>
      <c r="L300" s="42" t="s">
        <v>323</v>
      </c>
      <c r="M300" s="42" t="s">
        <v>310</v>
      </c>
      <c r="N300" s="43" t="str">
        <f t="shared" si="13"/>
        <v>valueAxis|secEnd</v>
      </c>
      <c r="O300" s="31" t="s">
        <v>302</v>
      </c>
      <c r="P300" s="31" t="s">
        <v>302</v>
      </c>
      <c r="Q300" s="31" t="s">
        <v>302</v>
      </c>
      <c r="R300" s="31" t="s">
        <v>302</v>
      </c>
      <c r="S300" s="31" t="s">
        <v>302</v>
      </c>
      <c r="T300" s="31" t="s">
        <v>302</v>
      </c>
      <c r="U300" s="31" t="s">
        <v>302</v>
      </c>
      <c r="V300" s="31" t="s">
        <v>302</v>
      </c>
      <c r="W300" s="31" t="s">
        <v>302</v>
      </c>
      <c r="X300" s="31" t="s">
        <v>302</v>
      </c>
      <c r="Y300" s="31" t="s">
        <v>302</v>
      </c>
      <c r="Z300" s="31" t="s">
        <v>302</v>
      </c>
      <c r="AA300" s="31" t="s">
        <v>302</v>
      </c>
      <c r="AB300" s="31" t="s">
        <v>302</v>
      </c>
      <c r="AC300" s="31"/>
      <c r="AD300" s="31"/>
      <c r="AE300" s="31"/>
      <c r="AF300" s="31"/>
      <c r="AG300" s="31"/>
      <c r="AH300" s="31"/>
      <c r="AI300" s="31"/>
      <c r="AJ300" s="31"/>
      <c r="AK300" s="31"/>
      <c r="AL300" s="31"/>
      <c r="AM300" s="31"/>
      <c r="AN300" s="31"/>
      <c r="AO300" s="31"/>
      <c r="AP300" s="31"/>
      <c r="AQ300" s="31"/>
      <c r="AR300" s="31"/>
      <c r="AS300" s="31"/>
      <c r="AT300" s="31"/>
      <c r="AU300" s="31"/>
    </row>
    <row r="301" spans="7:47" x14ac:dyDescent="0.25">
      <c r="G301" s="37">
        <f t="shared" si="12"/>
        <v>33</v>
      </c>
      <c r="H301" s="37" t="str">
        <f t="shared" si="14"/>
        <v>K294:K326</v>
      </c>
      <c r="I301" s="33" t="s">
        <v>18</v>
      </c>
      <c r="J301" s="42" t="s">
        <v>133</v>
      </c>
      <c r="K301" s="33" t="s">
        <v>17</v>
      </c>
      <c r="L301" s="42" t="s">
        <v>5</v>
      </c>
      <c r="M301" s="42" t="s">
        <v>307</v>
      </c>
      <c r="N301" s="43" t="str">
        <f t="shared" si="13"/>
        <v>valueAxis|fontFamily</v>
      </c>
      <c r="O301" s="31" t="s">
        <v>302</v>
      </c>
      <c r="P301" s="31" t="s">
        <v>302</v>
      </c>
      <c r="Q301" s="31" t="s">
        <v>302</v>
      </c>
      <c r="R301" s="31" t="s">
        <v>302</v>
      </c>
      <c r="S301" s="31" t="s">
        <v>302</v>
      </c>
      <c r="T301" s="31" t="s">
        <v>302</v>
      </c>
      <c r="U301" s="31" t="s">
        <v>302</v>
      </c>
      <c r="V301" s="31" t="s">
        <v>302</v>
      </c>
      <c r="W301" s="31" t="s">
        <v>302</v>
      </c>
      <c r="X301" s="31" t="s">
        <v>302</v>
      </c>
      <c r="Y301" s="31" t="s">
        <v>302</v>
      </c>
      <c r="Z301" s="31" t="s">
        <v>302</v>
      </c>
      <c r="AA301" s="31" t="s">
        <v>302</v>
      </c>
      <c r="AB301" s="31" t="s">
        <v>302</v>
      </c>
      <c r="AC301" s="31"/>
      <c r="AD301" s="31"/>
      <c r="AE301" s="31"/>
      <c r="AF301" s="31"/>
      <c r="AG301" s="31"/>
      <c r="AH301" s="31"/>
      <c r="AI301" s="31"/>
      <c r="AJ301" s="31"/>
      <c r="AK301" s="31"/>
      <c r="AL301" s="31"/>
      <c r="AM301" s="31"/>
      <c r="AN301" s="31"/>
      <c r="AO301" s="31"/>
      <c r="AP301" s="31"/>
      <c r="AQ301" s="31"/>
      <c r="AR301" s="31"/>
      <c r="AS301" s="31"/>
      <c r="AT301" s="31"/>
      <c r="AU301" s="31"/>
    </row>
    <row r="302" spans="7:47" x14ac:dyDescent="0.25">
      <c r="G302" s="37">
        <f t="shared" si="12"/>
        <v>33</v>
      </c>
      <c r="H302" s="37" t="str">
        <f t="shared" si="14"/>
        <v>K294:K326</v>
      </c>
      <c r="I302" s="33" t="s">
        <v>18</v>
      </c>
      <c r="J302" s="42" t="s">
        <v>133</v>
      </c>
      <c r="K302" s="33" t="s">
        <v>17</v>
      </c>
      <c r="L302" s="42" t="s">
        <v>316</v>
      </c>
      <c r="M302" s="42" t="s">
        <v>307</v>
      </c>
      <c r="N302" s="43" t="str">
        <f t="shared" si="13"/>
        <v>valueAxis|titleFontFamily</v>
      </c>
      <c r="O302" s="31" t="s">
        <v>302</v>
      </c>
      <c r="P302" s="31" t="s">
        <v>302</v>
      </c>
      <c r="Q302" s="31" t="s">
        <v>302</v>
      </c>
      <c r="R302" s="31" t="s">
        <v>302</v>
      </c>
      <c r="S302" s="31" t="s">
        <v>302</v>
      </c>
      <c r="T302" s="31" t="s">
        <v>302</v>
      </c>
      <c r="U302" s="31" t="s">
        <v>302</v>
      </c>
      <c r="V302" s="31" t="s">
        <v>302</v>
      </c>
      <c r="W302" s="31" t="s">
        <v>302</v>
      </c>
      <c r="X302" s="31" t="s">
        <v>302</v>
      </c>
      <c r="Y302" s="31" t="s">
        <v>302</v>
      </c>
      <c r="Z302" s="31" t="s">
        <v>302</v>
      </c>
      <c r="AA302" s="31" t="s">
        <v>302</v>
      </c>
      <c r="AB302" s="31" t="s">
        <v>302</v>
      </c>
      <c r="AC302" s="31"/>
      <c r="AD302" s="31"/>
      <c r="AE302" s="31"/>
      <c r="AF302" s="31"/>
      <c r="AG302" s="31"/>
      <c r="AH302" s="31"/>
      <c r="AI302" s="31"/>
      <c r="AJ302" s="31"/>
      <c r="AK302" s="31"/>
      <c r="AL302" s="31"/>
      <c r="AM302" s="31"/>
      <c r="AN302" s="31"/>
      <c r="AO302" s="31"/>
      <c r="AP302" s="31"/>
      <c r="AQ302" s="31"/>
      <c r="AR302" s="31"/>
      <c r="AS302" s="31"/>
      <c r="AT302" s="31"/>
      <c r="AU302" s="31"/>
    </row>
    <row r="303" spans="7:47" x14ac:dyDescent="0.25">
      <c r="G303" s="37">
        <f t="shared" si="12"/>
        <v>33</v>
      </c>
      <c r="H303" s="37" t="str">
        <f t="shared" si="14"/>
        <v>K294:K326</v>
      </c>
      <c r="I303" s="33" t="s">
        <v>18</v>
      </c>
      <c r="J303" s="42" t="s">
        <v>133</v>
      </c>
      <c r="K303" s="33" t="s">
        <v>17</v>
      </c>
      <c r="L303" s="42" t="s">
        <v>326</v>
      </c>
      <c r="M303" s="42" t="s">
        <v>307</v>
      </c>
      <c r="N303" s="43" t="str">
        <f t="shared" si="13"/>
        <v>valueAxis|secFontFamily</v>
      </c>
      <c r="O303" s="31" t="s">
        <v>302</v>
      </c>
      <c r="P303" s="31" t="s">
        <v>302</v>
      </c>
      <c r="Q303" s="31" t="s">
        <v>302</v>
      </c>
      <c r="R303" s="31" t="s">
        <v>302</v>
      </c>
      <c r="S303" s="31" t="s">
        <v>302</v>
      </c>
      <c r="T303" s="31" t="s">
        <v>302</v>
      </c>
      <c r="U303" s="31" t="s">
        <v>302</v>
      </c>
      <c r="V303" s="31" t="s">
        <v>302</v>
      </c>
      <c r="W303" s="31" t="s">
        <v>302</v>
      </c>
      <c r="X303" s="31" t="s">
        <v>302</v>
      </c>
      <c r="Y303" s="31" t="s">
        <v>302</v>
      </c>
      <c r="Z303" s="31" t="s">
        <v>302</v>
      </c>
      <c r="AA303" s="31" t="s">
        <v>302</v>
      </c>
      <c r="AB303" s="31" t="s">
        <v>302</v>
      </c>
      <c r="AC303" s="31"/>
      <c r="AD303" s="31"/>
      <c r="AE303" s="31"/>
      <c r="AF303" s="31"/>
      <c r="AG303" s="31"/>
      <c r="AH303" s="31"/>
      <c r="AI303" s="31"/>
      <c r="AJ303" s="31"/>
      <c r="AK303" s="31"/>
      <c r="AL303" s="31"/>
      <c r="AM303" s="31"/>
      <c r="AN303" s="31"/>
      <c r="AO303" s="31"/>
      <c r="AP303" s="31"/>
      <c r="AQ303" s="31"/>
      <c r="AR303" s="31"/>
      <c r="AS303" s="31"/>
      <c r="AT303" s="31"/>
      <c r="AU303" s="31"/>
    </row>
    <row r="304" spans="7:47" x14ac:dyDescent="0.25">
      <c r="G304" s="37">
        <f t="shared" si="12"/>
        <v>33</v>
      </c>
      <c r="H304" s="37" t="str">
        <f t="shared" si="14"/>
        <v>K294:K326</v>
      </c>
      <c r="I304" s="33" t="s">
        <v>18</v>
      </c>
      <c r="J304" s="42" t="s">
        <v>133</v>
      </c>
      <c r="K304" s="33" t="s">
        <v>17</v>
      </c>
      <c r="L304" s="42" t="s">
        <v>331</v>
      </c>
      <c r="M304" s="42" t="s">
        <v>307</v>
      </c>
      <c r="N304" s="43" t="str">
        <f t="shared" si="13"/>
        <v>valueAxis|secTitleFontFamily</v>
      </c>
      <c r="O304" s="31" t="s">
        <v>302</v>
      </c>
      <c r="P304" s="31" t="s">
        <v>302</v>
      </c>
      <c r="Q304" s="31" t="s">
        <v>302</v>
      </c>
      <c r="R304" s="31" t="s">
        <v>302</v>
      </c>
      <c r="S304" s="31" t="s">
        <v>302</v>
      </c>
      <c r="T304" s="31" t="s">
        <v>302</v>
      </c>
      <c r="U304" s="31" t="s">
        <v>302</v>
      </c>
      <c r="V304" s="31" t="s">
        <v>302</v>
      </c>
      <c r="W304" s="31" t="s">
        <v>302</v>
      </c>
      <c r="X304" s="31" t="s">
        <v>302</v>
      </c>
      <c r="Y304" s="31" t="s">
        <v>302</v>
      </c>
      <c r="Z304" s="31" t="s">
        <v>302</v>
      </c>
      <c r="AA304" s="31" t="s">
        <v>302</v>
      </c>
      <c r="AB304" s="31" t="s">
        <v>302</v>
      </c>
      <c r="AC304" s="31"/>
      <c r="AD304" s="31"/>
      <c r="AE304" s="31"/>
      <c r="AF304" s="31"/>
      <c r="AG304" s="31"/>
      <c r="AH304" s="31"/>
      <c r="AI304" s="31"/>
      <c r="AJ304" s="31"/>
      <c r="AK304" s="31"/>
      <c r="AL304" s="31"/>
      <c r="AM304" s="31"/>
      <c r="AN304" s="31"/>
      <c r="AO304" s="31"/>
      <c r="AP304" s="31"/>
      <c r="AQ304" s="31"/>
      <c r="AR304" s="31"/>
      <c r="AS304" s="31"/>
      <c r="AT304" s="31"/>
      <c r="AU304" s="31"/>
    </row>
    <row r="305" spans="7:47" x14ac:dyDescent="0.25">
      <c r="G305" s="37">
        <f t="shared" si="12"/>
        <v>33</v>
      </c>
      <c r="H305" s="37" t="str">
        <f t="shared" si="14"/>
        <v>K294:K326</v>
      </c>
      <c r="I305" s="33" t="s">
        <v>18</v>
      </c>
      <c r="J305" s="42" t="s">
        <v>133</v>
      </c>
      <c r="K305" s="33" t="s">
        <v>13</v>
      </c>
      <c r="L305" s="42" t="s">
        <v>52</v>
      </c>
      <c r="M305" s="42" t="s">
        <v>305</v>
      </c>
      <c r="N305" s="43" t="str">
        <f t="shared" si="13"/>
        <v>valueAxis|position</v>
      </c>
      <c r="O305" s="31" t="s">
        <v>40</v>
      </c>
      <c r="P305" s="31" t="s">
        <v>41</v>
      </c>
      <c r="Q305" s="31"/>
      <c r="R305" s="31"/>
      <c r="S305" s="31"/>
      <c r="T305" s="31"/>
      <c r="U305" s="31"/>
      <c r="V305" s="31"/>
      <c r="W305" s="31"/>
      <c r="X305" s="31"/>
      <c r="Y305" s="31"/>
      <c r="Z305" s="31"/>
      <c r="AA305" s="31"/>
      <c r="AB305" s="31"/>
      <c r="AC305" s="31"/>
      <c r="AD305" s="31"/>
      <c r="AE305" s="31"/>
      <c r="AF305" s="31"/>
      <c r="AG305" s="31"/>
      <c r="AH305" s="31"/>
      <c r="AI305" s="31"/>
      <c r="AJ305" s="31"/>
      <c r="AK305" s="31"/>
      <c r="AL305" s="31"/>
      <c r="AM305" s="31"/>
      <c r="AN305" s="31"/>
      <c r="AO305" s="31"/>
      <c r="AP305" s="31"/>
      <c r="AQ305" s="31"/>
      <c r="AR305" s="31"/>
      <c r="AS305" s="31"/>
      <c r="AT305" s="31"/>
      <c r="AU305" s="31"/>
    </row>
    <row r="306" spans="7:47" x14ac:dyDescent="0.25">
      <c r="G306" s="37">
        <f t="shared" si="12"/>
        <v>33</v>
      </c>
      <c r="H306" s="37" t="str">
        <f t="shared" si="14"/>
        <v>K294:K326</v>
      </c>
      <c r="I306" s="33" t="s">
        <v>18</v>
      </c>
      <c r="J306" s="42" t="s">
        <v>133</v>
      </c>
      <c r="K306" s="33" t="s">
        <v>13</v>
      </c>
      <c r="L306" s="42" t="s">
        <v>225</v>
      </c>
      <c r="M306" s="42" t="s">
        <v>305</v>
      </c>
      <c r="N306" s="43" t="str">
        <f t="shared" si="13"/>
        <v>valueAxis|secPosition</v>
      </c>
      <c r="O306" s="31" t="s">
        <v>40</v>
      </c>
      <c r="P306" s="31" t="s">
        <v>41</v>
      </c>
      <c r="Q306" s="31"/>
      <c r="R306" s="31"/>
      <c r="S306" s="31"/>
      <c r="T306" s="31"/>
      <c r="U306" s="31"/>
      <c r="V306" s="31"/>
      <c r="W306" s="31"/>
      <c r="X306" s="31"/>
      <c r="Y306" s="31"/>
      <c r="Z306" s="31"/>
      <c r="AA306" s="31"/>
      <c r="AB306" s="31"/>
      <c r="AC306" s="31"/>
      <c r="AD306" s="31"/>
      <c r="AE306" s="31"/>
      <c r="AF306" s="31"/>
      <c r="AG306" s="31"/>
      <c r="AH306" s="31"/>
      <c r="AI306" s="31"/>
      <c r="AJ306" s="31"/>
      <c r="AK306" s="31"/>
      <c r="AL306" s="31"/>
      <c r="AM306" s="31"/>
      <c r="AN306" s="31"/>
      <c r="AO306" s="31"/>
      <c r="AP306" s="31"/>
      <c r="AQ306" s="31"/>
      <c r="AR306" s="31"/>
      <c r="AS306" s="31"/>
      <c r="AT306" s="31"/>
      <c r="AU306" s="31"/>
    </row>
    <row r="307" spans="7:47" x14ac:dyDescent="0.25">
      <c r="G307" s="37">
        <f t="shared" si="12"/>
        <v>33</v>
      </c>
      <c r="H307" s="37" t="str">
        <f t="shared" si="14"/>
        <v>K294:K326</v>
      </c>
      <c r="I307" s="33" t="s">
        <v>18</v>
      </c>
      <c r="J307" s="42" t="s">
        <v>133</v>
      </c>
      <c r="K307" s="33" t="s">
        <v>24</v>
      </c>
      <c r="L307" s="42" t="s">
        <v>212</v>
      </c>
      <c r="M307" s="42" t="s">
        <v>305</v>
      </c>
      <c r="N307" s="43" t="str">
        <f t="shared" si="13"/>
        <v>valueAxis|axisScale</v>
      </c>
      <c r="O307" s="31" t="s">
        <v>247</v>
      </c>
      <c r="P307" s="31" t="s">
        <v>248</v>
      </c>
      <c r="Q307" s="31"/>
      <c r="R307" s="31"/>
      <c r="S307" s="31"/>
      <c r="T307" s="31"/>
      <c r="U307" s="31"/>
      <c r="V307" s="31"/>
      <c r="W307" s="31"/>
      <c r="X307" s="31"/>
      <c r="Y307" s="31"/>
      <c r="Z307" s="31"/>
      <c r="AA307" s="31"/>
      <c r="AB307" s="31"/>
      <c r="AC307" s="31"/>
      <c r="AD307" s="31"/>
      <c r="AE307" s="31"/>
      <c r="AF307" s="31"/>
      <c r="AG307" s="31"/>
      <c r="AH307" s="31"/>
      <c r="AI307" s="31"/>
      <c r="AJ307" s="31"/>
      <c r="AK307" s="31"/>
      <c r="AL307" s="31"/>
      <c r="AM307" s="31"/>
      <c r="AN307" s="31"/>
      <c r="AO307" s="31"/>
      <c r="AP307" s="31"/>
      <c r="AQ307" s="31"/>
      <c r="AR307" s="31"/>
      <c r="AS307" s="31"/>
      <c r="AT307" s="31"/>
      <c r="AU307" s="31"/>
    </row>
    <row r="308" spans="7:47" x14ac:dyDescent="0.25">
      <c r="G308" s="37">
        <f t="shared" si="12"/>
        <v>33</v>
      </c>
      <c r="H308" s="37" t="str">
        <f t="shared" si="14"/>
        <v>K294:K326</v>
      </c>
      <c r="I308" s="33" t="s">
        <v>18</v>
      </c>
      <c r="J308" s="42" t="s">
        <v>133</v>
      </c>
      <c r="K308" s="33" t="s">
        <v>24</v>
      </c>
      <c r="L308" s="42" t="s">
        <v>226</v>
      </c>
      <c r="M308" s="42" t="s">
        <v>305</v>
      </c>
      <c r="N308" s="43" t="str">
        <f t="shared" si="13"/>
        <v>valueAxis|secAxisScale</v>
      </c>
      <c r="O308" s="31" t="s">
        <v>247</v>
      </c>
      <c r="P308" s="31" t="s">
        <v>248</v>
      </c>
      <c r="Q308" s="31"/>
      <c r="R308" s="31"/>
      <c r="S308" s="31"/>
      <c r="T308" s="31"/>
      <c r="U308" s="31"/>
      <c r="V308" s="31"/>
      <c r="W308" s="31"/>
      <c r="X308" s="31"/>
      <c r="Y308" s="31"/>
      <c r="Z308" s="31"/>
      <c r="AA308" s="31"/>
      <c r="AB308" s="31"/>
      <c r="AC308" s="31"/>
      <c r="AD308" s="31"/>
      <c r="AE308" s="31"/>
      <c r="AF308" s="31"/>
      <c r="AG308" s="31"/>
      <c r="AH308" s="31"/>
      <c r="AI308" s="31"/>
      <c r="AJ308" s="31"/>
      <c r="AK308" s="31"/>
      <c r="AL308" s="31"/>
      <c r="AM308" s="31"/>
      <c r="AN308" s="31"/>
      <c r="AO308" s="31"/>
      <c r="AP308" s="31"/>
      <c r="AQ308" s="31"/>
      <c r="AR308" s="31"/>
      <c r="AS308" s="31"/>
      <c r="AT308" s="31"/>
      <c r="AU308" s="31"/>
    </row>
    <row r="309" spans="7:47" x14ac:dyDescent="0.25">
      <c r="G309" s="37">
        <f t="shared" si="12"/>
        <v>33</v>
      </c>
      <c r="H309" s="37" t="str">
        <f t="shared" si="14"/>
        <v>K294:K326</v>
      </c>
      <c r="I309" s="33" t="s">
        <v>18</v>
      </c>
      <c r="J309" s="42" t="s">
        <v>133</v>
      </c>
      <c r="K309" s="33" t="s">
        <v>213</v>
      </c>
      <c r="L309" s="42" t="s">
        <v>54</v>
      </c>
      <c r="M309" s="42" t="s">
        <v>304</v>
      </c>
      <c r="N309" s="43" t="str">
        <f t="shared" si="13"/>
        <v>valueAxis|show</v>
      </c>
      <c r="O309" s="31" t="s">
        <v>302</v>
      </c>
      <c r="P309" s="31" t="s">
        <v>302</v>
      </c>
      <c r="Q309" s="31" t="s">
        <v>302</v>
      </c>
      <c r="R309" s="31" t="s">
        <v>302</v>
      </c>
      <c r="S309" s="31" t="s">
        <v>302</v>
      </c>
      <c r="T309" s="31" t="s">
        <v>302</v>
      </c>
      <c r="U309" s="31" t="s">
        <v>302</v>
      </c>
      <c r="V309" s="31" t="s">
        <v>302</v>
      </c>
      <c r="W309" s="31" t="s">
        <v>302</v>
      </c>
      <c r="X309" s="31" t="s">
        <v>302</v>
      </c>
      <c r="Y309" s="31" t="s">
        <v>302</v>
      </c>
      <c r="Z309" s="31" t="s">
        <v>302</v>
      </c>
      <c r="AA309" s="31" t="s">
        <v>302</v>
      </c>
      <c r="AB309" s="31" t="s">
        <v>302</v>
      </c>
      <c r="AC309" s="31"/>
      <c r="AD309" s="31"/>
      <c r="AE309" s="31"/>
      <c r="AF309" s="31"/>
      <c r="AG309" s="31"/>
      <c r="AH309" s="31"/>
      <c r="AI309" s="31"/>
      <c r="AJ309" s="31"/>
      <c r="AK309" s="31"/>
      <c r="AL309" s="31"/>
      <c r="AM309" s="31"/>
      <c r="AN309" s="31"/>
      <c r="AO309" s="31"/>
      <c r="AP309" s="31"/>
      <c r="AQ309" s="31"/>
      <c r="AR309" s="31"/>
      <c r="AS309" s="31"/>
      <c r="AT309" s="31"/>
      <c r="AU309" s="31"/>
    </row>
    <row r="310" spans="7:47" x14ac:dyDescent="0.25">
      <c r="G310" s="37">
        <f t="shared" si="12"/>
        <v>33</v>
      </c>
      <c r="H310" s="37" t="str">
        <f t="shared" si="14"/>
        <v>K294:K326</v>
      </c>
      <c r="I310" s="33" t="s">
        <v>18</v>
      </c>
      <c r="J310" s="42" t="s">
        <v>133</v>
      </c>
      <c r="K310" s="33" t="s">
        <v>438</v>
      </c>
      <c r="L310" s="42" t="s">
        <v>319</v>
      </c>
      <c r="M310" s="42" t="s">
        <v>304</v>
      </c>
      <c r="N310" s="43" t="str">
        <f t="shared" si="13"/>
        <v>valueAxis|secShow</v>
      </c>
      <c r="O310" s="31" t="s">
        <v>302</v>
      </c>
      <c r="P310" s="31" t="s">
        <v>302</v>
      </c>
      <c r="Q310" s="31" t="s">
        <v>302</v>
      </c>
      <c r="R310" s="31" t="s">
        <v>302</v>
      </c>
      <c r="S310" s="31" t="s">
        <v>302</v>
      </c>
      <c r="T310" s="31" t="s">
        <v>302</v>
      </c>
      <c r="U310" s="31" t="s">
        <v>302</v>
      </c>
      <c r="V310" s="31" t="s">
        <v>302</v>
      </c>
      <c r="W310" s="31" t="s">
        <v>302</v>
      </c>
      <c r="X310" s="31" t="s">
        <v>302</v>
      </c>
      <c r="Y310" s="31" t="s">
        <v>302</v>
      </c>
      <c r="Z310" s="31" t="s">
        <v>302</v>
      </c>
      <c r="AA310" s="31" t="s">
        <v>302</v>
      </c>
      <c r="AB310" s="31" t="s">
        <v>302</v>
      </c>
      <c r="AC310" s="31"/>
      <c r="AD310" s="31"/>
      <c r="AE310" s="31"/>
      <c r="AF310" s="31"/>
      <c r="AG310" s="31"/>
      <c r="AH310" s="31"/>
      <c r="AI310" s="31"/>
      <c r="AJ310" s="31"/>
      <c r="AK310" s="31"/>
      <c r="AL310" s="31"/>
      <c r="AM310" s="31"/>
      <c r="AN310" s="31"/>
      <c r="AO310" s="31"/>
      <c r="AP310" s="31"/>
      <c r="AQ310" s="31"/>
      <c r="AR310" s="31"/>
      <c r="AS310" s="31"/>
      <c r="AT310" s="31"/>
      <c r="AU310" s="31"/>
    </row>
    <row r="311" spans="7:47" x14ac:dyDescent="0.25">
      <c r="G311" s="37">
        <f t="shared" si="12"/>
        <v>33</v>
      </c>
      <c r="H311" s="37" t="str">
        <f t="shared" si="14"/>
        <v>K294:K326</v>
      </c>
      <c r="I311" s="33" t="s">
        <v>18</v>
      </c>
      <c r="J311" s="42" t="s">
        <v>133</v>
      </c>
      <c r="K311" s="33" t="s">
        <v>25</v>
      </c>
      <c r="L311" s="42" t="s">
        <v>309</v>
      </c>
      <c r="M311" s="42" t="s">
        <v>310</v>
      </c>
      <c r="N311" s="43" t="str">
        <f t="shared" si="13"/>
        <v>valueAxis|start</v>
      </c>
      <c r="O311" s="31" t="s">
        <v>302</v>
      </c>
      <c r="P311" s="31" t="s">
        <v>302</v>
      </c>
      <c r="Q311" s="31" t="s">
        <v>302</v>
      </c>
      <c r="R311" s="31" t="s">
        <v>302</v>
      </c>
      <c r="S311" s="31" t="s">
        <v>302</v>
      </c>
      <c r="T311" s="31" t="s">
        <v>302</v>
      </c>
      <c r="U311" s="31" t="s">
        <v>302</v>
      </c>
      <c r="V311" s="31" t="s">
        <v>302</v>
      </c>
      <c r="W311" s="31" t="s">
        <v>302</v>
      </c>
      <c r="X311" s="31" t="s">
        <v>302</v>
      </c>
      <c r="Y311" s="31" t="s">
        <v>302</v>
      </c>
      <c r="Z311" s="31" t="s">
        <v>302</v>
      </c>
      <c r="AA311" s="31" t="s">
        <v>302</v>
      </c>
      <c r="AB311" s="31" t="s">
        <v>302</v>
      </c>
      <c r="AC311" s="31"/>
      <c r="AD311" s="31"/>
      <c r="AE311" s="31"/>
      <c r="AF311" s="31"/>
      <c r="AG311" s="31"/>
      <c r="AH311" s="31"/>
      <c r="AI311" s="31"/>
      <c r="AJ311" s="31"/>
      <c r="AK311" s="31"/>
      <c r="AL311" s="31"/>
      <c r="AM311" s="31"/>
      <c r="AN311" s="31"/>
      <c r="AO311" s="31"/>
      <c r="AP311" s="31"/>
      <c r="AQ311" s="31"/>
      <c r="AR311" s="31"/>
      <c r="AS311" s="31"/>
      <c r="AT311" s="31"/>
      <c r="AU311" s="31"/>
    </row>
    <row r="312" spans="7:47" x14ac:dyDescent="0.25">
      <c r="G312" s="37">
        <f t="shared" si="12"/>
        <v>33</v>
      </c>
      <c r="H312" s="37" t="str">
        <f t="shared" si="14"/>
        <v>K294:K326</v>
      </c>
      <c r="I312" s="33" t="s">
        <v>18</v>
      </c>
      <c r="J312" s="42" t="s">
        <v>133</v>
      </c>
      <c r="K312" s="33" t="s">
        <v>25</v>
      </c>
      <c r="L312" s="42" t="s">
        <v>322</v>
      </c>
      <c r="M312" s="42" t="s">
        <v>310</v>
      </c>
      <c r="N312" s="43" t="str">
        <f t="shared" si="13"/>
        <v>valueAxis|secStart</v>
      </c>
      <c r="O312" s="31" t="s">
        <v>302</v>
      </c>
      <c r="P312" s="31" t="s">
        <v>302</v>
      </c>
      <c r="Q312" s="31" t="s">
        <v>302</v>
      </c>
      <c r="R312" s="31" t="s">
        <v>302</v>
      </c>
      <c r="S312" s="31" t="s">
        <v>302</v>
      </c>
      <c r="T312" s="31" t="s">
        <v>302</v>
      </c>
      <c r="U312" s="31" t="s">
        <v>302</v>
      </c>
      <c r="V312" s="31" t="s">
        <v>302</v>
      </c>
      <c r="W312" s="31" t="s">
        <v>302</v>
      </c>
      <c r="X312" s="31" t="s">
        <v>302</v>
      </c>
      <c r="Y312" s="31" t="s">
        <v>302</v>
      </c>
      <c r="Z312" s="31" t="s">
        <v>302</v>
      </c>
      <c r="AA312" s="31" t="s">
        <v>302</v>
      </c>
      <c r="AB312" s="31" t="s">
        <v>302</v>
      </c>
      <c r="AC312" s="31"/>
      <c r="AD312" s="31"/>
      <c r="AE312" s="31"/>
      <c r="AF312" s="31"/>
      <c r="AG312" s="31"/>
      <c r="AH312" s="31"/>
      <c r="AI312" s="31"/>
      <c r="AJ312" s="31"/>
      <c r="AK312" s="31"/>
      <c r="AL312" s="31"/>
      <c r="AM312" s="31"/>
      <c r="AN312" s="31"/>
      <c r="AO312" s="31"/>
      <c r="AP312" s="31"/>
      <c r="AQ312" s="31"/>
      <c r="AR312" s="31"/>
      <c r="AS312" s="31"/>
      <c r="AT312" s="31"/>
      <c r="AU312" s="31"/>
    </row>
    <row r="313" spans="7:47" x14ac:dyDescent="0.25">
      <c r="G313" s="37">
        <f t="shared" si="12"/>
        <v>33</v>
      </c>
      <c r="H313" s="37" t="str">
        <f t="shared" si="14"/>
        <v>K294:K326</v>
      </c>
      <c r="I313" s="33" t="s">
        <v>18</v>
      </c>
      <c r="J313" s="42" t="s">
        <v>133</v>
      </c>
      <c r="K313" s="33" t="s">
        <v>20</v>
      </c>
      <c r="L313" s="42" t="s">
        <v>215</v>
      </c>
      <c r="M313" s="42" t="s">
        <v>305</v>
      </c>
      <c r="N313" s="43" t="str">
        <f t="shared" si="13"/>
        <v>valueAxis|axisStyle</v>
      </c>
      <c r="O313" s="31" t="s">
        <v>250</v>
      </c>
      <c r="P313" s="31" t="s">
        <v>251</v>
      </c>
      <c r="Q313" s="31" t="s">
        <v>252</v>
      </c>
      <c r="R313" s="31"/>
      <c r="S313" s="31"/>
      <c r="T313" s="31"/>
      <c r="U313" s="31"/>
      <c r="V313" s="31"/>
      <c r="W313" s="31"/>
      <c r="X313" s="31"/>
      <c r="Y313" s="31"/>
      <c r="Z313" s="31"/>
      <c r="AA313" s="31"/>
      <c r="AB313" s="31"/>
      <c r="AC313" s="31"/>
      <c r="AD313" s="31"/>
      <c r="AE313" s="31"/>
      <c r="AF313" s="31"/>
      <c r="AG313" s="31"/>
      <c r="AH313" s="31"/>
      <c r="AI313" s="31"/>
      <c r="AJ313" s="31"/>
      <c r="AK313" s="31"/>
      <c r="AL313" s="31"/>
      <c r="AM313" s="31"/>
      <c r="AN313" s="31"/>
      <c r="AO313" s="31"/>
      <c r="AP313" s="31"/>
      <c r="AQ313" s="31"/>
      <c r="AR313" s="31"/>
      <c r="AS313" s="31"/>
      <c r="AT313" s="31"/>
      <c r="AU313" s="31"/>
    </row>
    <row r="314" spans="7:47" x14ac:dyDescent="0.25">
      <c r="G314" s="37">
        <f t="shared" si="12"/>
        <v>33</v>
      </c>
      <c r="H314" s="37" t="str">
        <f t="shared" si="14"/>
        <v>K294:K326</v>
      </c>
      <c r="I314" s="33" t="s">
        <v>18</v>
      </c>
      <c r="J314" s="42" t="s">
        <v>133</v>
      </c>
      <c r="K314" s="33" t="s">
        <v>20</v>
      </c>
      <c r="L314" s="42" t="s">
        <v>227</v>
      </c>
      <c r="M314" s="42" t="s">
        <v>305</v>
      </c>
      <c r="N314" s="43" t="str">
        <f t="shared" si="13"/>
        <v>valueAxis|secAxisStyle</v>
      </c>
      <c r="O314" s="31" t="s">
        <v>250</v>
      </c>
      <c r="P314" s="31" t="s">
        <v>251</v>
      </c>
      <c r="Q314" s="31" t="s">
        <v>252</v>
      </c>
      <c r="R314" s="31"/>
      <c r="S314" s="31"/>
      <c r="T314" s="31"/>
      <c r="U314" s="31"/>
      <c r="V314" s="31"/>
      <c r="W314" s="31"/>
      <c r="X314" s="31"/>
      <c r="Y314" s="31"/>
      <c r="Z314" s="31"/>
      <c r="AA314" s="31"/>
      <c r="AB314" s="31"/>
      <c r="AC314" s="31"/>
      <c r="AD314" s="31"/>
      <c r="AE314" s="31"/>
      <c r="AF314" s="31"/>
      <c r="AG314" s="31"/>
      <c r="AH314" s="31"/>
      <c r="AI314" s="31"/>
      <c r="AJ314" s="31"/>
      <c r="AK314" s="31"/>
      <c r="AL314" s="31"/>
      <c r="AM314" s="31"/>
      <c r="AN314" s="31"/>
      <c r="AO314" s="31"/>
      <c r="AP314" s="31"/>
      <c r="AQ314" s="31"/>
      <c r="AR314" s="31"/>
      <c r="AS314" s="31"/>
      <c r="AT314" s="31"/>
      <c r="AU314" s="31"/>
    </row>
    <row r="315" spans="7:47" x14ac:dyDescent="0.25">
      <c r="G315" s="37">
        <f t="shared" si="12"/>
        <v>33</v>
      </c>
      <c r="H315" s="37" t="str">
        <f t="shared" si="14"/>
        <v>K294:K326</v>
      </c>
      <c r="I315" s="33" t="s">
        <v>18</v>
      </c>
      <c r="J315" s="42" t="s">
        <v>133</v>
      </c>
      <c r="K315" s="33" t="s">
        <v>16</v>
      </c>
      <c r="L315" s="42" t="s">
        <v>4</v>
      </c>
      <c r="M315" s="42" t="s">
        <v>307</v>
      </c>
      <c r="N315" s="43" t="str">
        <f t="shared" si="13"/>
        <v>valueAxis|fontSize</v>
      </c>
      <c r="O315" s="31" t="s">
        <v>302</v>
      </c>
      <c r="P315" s="31" t="s">
        <v>302</v>
      </c>
      <c r="Q315" s="31" t="s">
        <v>302</v>
      </c>
      <c r="R315" s="31" t="s">
        <v>302</v>
      </c>
      <c r="S315" s="31" t="s">
        <v>302</v>
      </c>
      <c r="T315" s="31" t="s">
        <v>302</v>
      </c>
      <c r="U315" s="31" t="s">
        <v>302</v>
      </c>
      <c r="V315" s="31" t="s">
        <v>302</v>
      </c>
      <c r="W315" s="31" t="s">
        <v>302</v>
      </c>
      <c r="X315" s="31" t="s">
        <v>302</v>
      </c>
      <c r="Y315" s="31" t="s">
        <v>302</v>
      </c>
      <c r="Z315" s="31" t="s">
        <v>302</v>
      </c>
      <c r="AA315" s="31" t="s">
        <v>302</v>
      </c>
      <c r="AB315" s="31" t="s">
        <v>302</v>
      </c>
      <c r="AC315" s="31"/>
      <c r="AD315" s="31"/>
      <c r="AE315" s="31"/>
      <c r="AF315" s="31"/>
      <c r="AG315" s="31"/>
      <c r="AH315" s="31"/>
      <c r="AI315" s="31"/>
      <c r="AJ315" s="31"/>
      <c r="AK315" s="31"/>
      <c r="AL315" s="31"/>
      <c r="AM315" s="31"/>
      <c r="AN315" s="31"/>
      <c r="AO315" s="31"/>
      <c r="AP315" s="31"/>
      <c r="AQ315" s="31"/>
      <c r="AR315" s="31"/>
      <c r="AS315" s="31"/>
      <c r="AT315" s="31"/>
      <c r="AU315" s="31"/>
    </row>
    <row r="316" spans="7:47" x14ac:dyDescent="0.25">
      <c r="G316" s="37">
        <f t="shared" si="12"/>
        <v>33</v>
      </c>
      <c r="H316" s="37" t="str">
        <f t="shared" si="14"/>
        <v>K294:K326</v>
      </c>
      <c r="I316" s="33" t="s">
        <v>18</v>
      </c>
      <c r="J316" s="42" t="s">
        <v>133</v>
      </c>
      <c r="K316" s="33" t="s">
        <v>16</v>
      </c>
      <c r="L316" s="42" t="s">
        <v>327</v>
      </c>
      <c r="M316" s="42" t="s">
        <v>307</v>
      </c>
      <c r="N316" s="43" t="str">
        <f t="shared" si="13"/>
        <v>valueAxis|secFontSize</v>
      </c>
      <c r="O316" s="31" t="s">
        <v>302</v>
      </c>
      <c r="P316" s="31" t="s">
        <v>302</v>
      </c>
      <c r="Q316" s="31" t="s">
        <v>302</v>
      </c>
      <c r="R316" s="31" t="s">
        <v>302</v>
      </c>
      <c r="S316" s="31" t="s">
        <v>302</v>
      </c>
      <c r="T316" s="31" t="s">
        <v>302</v>
      </c>
      <c r="U316" s="31" t="s">
        <v>302</v>
      </c>
      <c r="V316" s="31" t="s">
        <v>302</v>
      </c>
      <c r="W316" s="31" t="s">
        <v>302</v>
      </c>
      <c r="X316" s="31" t="s">
        <v>302</v>
      </c>
      <c r="Y316" s="31" t="s">
        <v>302</v>
      </c>
      <c r="Z316" s="31" t="s">
        <v>302</v>
      </c>
      <c r="AA316" s="31" t="s">
        <v>302</v>
      </c>
      <c r="AB316" s="31" t="s">
        <v>302</v>
      </c>
      <c r="AC316" s="31"/>
      <c r="AD316" s="31"/>
      <c r="AE316" s="31"/>
      <c r="AF316" s="31"/>
      <c r="AG316" s="31"/>
      <c r="AH316" s="31"/>
      <c r="AI316" s="31"/>
      <c r="AJ316" s="31"/>
      <c r="AK316" s="31"/>
      <c r="AL316" s="31"/>
      <c r="AM316" s="31"/>
      <c r="AN316" s="31"/>
      <c r="AO316" s="31"/>
      <c r="AP316" s="31"/>
      <c r="AQ316" s="31"/>
      <c r="AR316" s="31"/>
      <c r="AS316" s="31"/>
      <c r="AT316" s="31"/>
      <c r="AU316" s="31"/>
    </row>
    <row r="317" spans="7:47" x14ac:dyDescent="0.25">
      <c r="G317" s="37">
        <f t="shared" si="12"/>
        <v>33</v>
      </c>
      <c r="H317" s="37" t="str">
        <f t="shared" si="14"/>
        <v>K294:K326</v>
      </c>
      <c r="I317" s="33" t="s">
        <v>18</v>
      </c>
      <c r="J317" s="42" t="s">
        <v>133</v>
      </c>
      <c r="K317" s="33" t="s">
        <v>14</v>
      </c>
      <c r="L317" s="42" t="s">
        <v>63</v>
      </c>
      <c r="M317" s="42" t="s">
        <v>304</v>
      </c>
      <c r="N317" s="43" t="str">
        <f t="shared" si="13"/>
        <v>valueAxis|showAxisTitle</v>
      </c>
      <c r="O317" s="31" t="s">
        <v>302</v>
      </c>
      <c r="P317" s="31" t="s">
        <v>302</v>
      </c>
      <c r="Q317" s="31" t="s">
        <v>302</v>
      </c>
      <c r="R317" s="31" t="s">
        <v>302</v>
      </c>
      <c r="S317" s="31" t="s">
        <v>302</v>
      </c>
      <c r="T317" s="31" t="s">
        <v>302</v>
      </c>
      <c r="U317" s="31" t="s">
        <v>302</v>
      </c>
      <c r="V317" s="31" t="s">
        <v>302</v>
      </c>
      <c r="W317" s="31" t="s">
        <v>302</v>
      </c>
      <c r="X317" s="31" t="s">
        <v>302</v>
      </c>
      <c r="Y317" s="31" t="s">
        <v>302</v>
      </c>
      <c r="Z317" s="31" t="s">
        <v>302</v>
      </c>
      <c r="AA317" s="31" t="s">
        <v>302</v>
      </c>
      <c r="AB317" s="31" t="s">
        <v>302</v>
      </c>
      <c r="AC317" s="31"/>
      <c r="AD317" s="31"/>
      <c r="AE317" s="31"/>
      <c r="AF317" s="31"/>
      <c r="AG317" s="31"/>
      <c r="AH317" s="31"/>
      <c r="AI317" s="31"/>
      <c r="AJ317" s="31"/>
      <c r="AK317" s="31"/>
      <c r="AL317" s="31"/>
      <c r="AM317" s="31"/>
      <c r="AN317" s="31"/>
      <c r="AO317" s="31"/>
      <c r="AP317" s="31"/>
      <c r="AQ317" s="31"/>
      <c r="AR317" s="31"/>
      <c r="AS317" s="31"/>
      <c r="AT317" s="31"/>
      <c r="AU317" s="31"/>
    </row>
    <row r="318" spans="7:47" x14ac:dyDescent="0.25">
      <c r="G318" s="37">
        <f t="shared" si="12"/>
        <v>33</v>
      </c>
      <c r="H318" s="37" t="str">
        <f t="shared" si="14"/>
        <v>K294:K326</v>
      </c>
      <c r="I318" s="33" t="s">
        <v>18</v>
      </c>
      <c r="J318" s="42" t="s">
        <v>133</v>
      </c>
      <c r="K318" s="33" t="s">
        <v>14</v>
      </c>
      <c r="L318" s="42" t="s">
        <v>324</v>
      </c>
      <c r="M318" s="42" t="s">
        <v>304</v>
      </c>
      <c r="N318" s="43" t="str">
        <f t="shared" si="13"/>
        <v>valueAxis|secShowAxisTitle</v>
      </c>
      <c r="O318" s="31" t="s">
        <v>302</v>
      </c>
      <c r="P318" s="31" t="s">
        <v>302</v>
      </c>
      <c r="Q318" s="31" t="s">
        <v>302</v>
      </c>
      <c r="R318" s="31" t="s">
        <v>302</v>
      </c>
      <c r="S318" s="31" t="s">
        <v>302</v>
      </c>
      <c r="T318" s="31" t="s">
        <v>302</v>
      </c>
      <c r="U318" s="31" t="s">
        <v>302</v>
      </c>
      <c r="V318" s="31" t="s">
        <v>302</v>
      </c>
      <c r="W318" s="31" t="s">
        <v>302</v>
      </c>
      <c r="X318" s="31" t="s">
        <v>302</v>
      </c>
      <c r="Y318" s="31" t="s">
        <v>302</v>
      </c>
      <c r="Z318" s="31" t="s">
        <v>302</v>
      </c>
      <c r="AA318" s="31" t="s">
        <v>302</v>
      </c>
      <c r="AB318" s="31" t="s">
        <v>302</v>
      </c>
      <c r="AC318" s="31"/>
      <c r="AD318" s="31"/>
      <c r="AE318" s="31"/>
      <c r="AF318" s="31"/>
      <c r="AG318" s="31"/>
      <c r="AH318" s="31"/>
      <c r="AI318" s="31"/>
      <c r="AJ318" s="31"/>
      <c r="AK318" s="31"/>
      <c r="AL318" s="31"/>
      <c r="AM318" s="31"/>
      <c r="AN318" s="31"/>
      <c r="AO318" s="31"/>
      <c r="AP318" s="31"/>
      <c r="AQ318" s="31"/>
      <c r="AR318" s="31"/>
      <c r="AS318" s="31"/>
      <c r="AT318" s="31"/>
      <c r="AU318" s="31"/>
    </row>
    <row r="319" spans="7:47" x14ac:dyDescent="0.25">
      <c r="G319" s="37">
        <f t="shared" si="12"/>
        <v>33</v>
      </c>
      <c r="H319" s="37" t="str">
        <f t="shared" si="14"/>
        <v>K294:K326</v>
      </c>
      <c r="I319" s="33" t="s">
        <v>18</v>
      </c>
      <c r="J319" s="42" t="s">
        <v>133</v>
      </c>
      <c r="K319" s="33" t="s">
        <v>21</v>
      </c>
      <c r="L319" s="42" t="s">
        <v>64</v>
      </c>
      <c r="M319" s="42" t="s">
        <v>104</v>
      </c>
      <c r="N319" s="43" t="str">
        <f t="shared" si="13"/>
        <v>valueAxis|titleColor</v>
      </c>
      <c r="O319" s="31" t="s">
        <v>302</v>
      </c>
      <c r="P319" s="31" t="s">
        <v>302</v>
      </c>
      <c r="Q319" s="31" t="s">
        <v>302</v>
      </c>
      <c r="R319" s="31" t="s">
        <v>302</v>
      </c>
      <c r="S319" s="31" t="s">
        <v>302</v>
      </c>
      <c r="T319" s="31" t="s">
        <v>302</v>
      </c>
      <c r="U319" s="31" t="s">
        <v>302</v>
      </c>
      <c r="V319" s="31" t="s">
        <v>302</v>
      </c>
      <c r="W319" s="31" t="s">
        <v>302</v>
      </c>
      <c r="X319" s="31" t="s">
        <v>302</v>
      </c>
      <c r="Y319" s="31" t="s">
        <v>302</v>
      </c>
      <c r="Z319" s="31" t="s">
        <v>302</v>
      </c>
      <c r="AA319" s="31" t="s">
        <v>302</v>
      </c>
      <c r="AB319" s="31" t="s">
        <v>302</v>
      </c>
      <c r="AC319" s="31"/>
      <c r="AD319" s="31"/>
      <c r="AE319" s="31"/>
      <c r="AF319" s="31"/>
      <c r="AG319" s="31"/>
      <c r="AH319" s="31"/>
      <c r="AI319" s="31"/>
      <c r="AJ319" s="31"/>
      <c r="AK319" s="31"/>
      <c r="AL319" s="31"/>
      <c r="AM319" s="31"/>
      <c r="AN319" s="31"/>
      <c r="AO319" s="31"/>
      <c r="AP319" s="31"/>
      <c r="AQ319" s="31"/>
      <c r="AR319" s="31"/>
      <c r="AS319" s="31"/>
      <c r="AT319" s="31"/>
      <c r="AU319" s="31"/>
    </row>
    <row r="320" spans="7:47" x14ac:dyDescent="0.25">
      <c r="G320" s="37">
        <f t="shared" si="12"/>
        <v>33</v>
      </c>
      <c r="H320" s="37" t="str">
        <f t="shared" si="14"/>
        <v>K294:K326</v>
      </c>
      <c r="I320" s="33" t="s">
        <v>18</v>
      </c>
      <c r="J320" s="42" t="s">
        <v>133</v>
      </c>
      <c r="K320" s="33" t="s">
        <v>21</v>
      </c>
      <c r="L320" s="42" t="s">
        <v>330</v>
      </c>
      <c r="M320" s="42" t="s">
        <v>104</v>
      </c>
      <c r="N320" s="43" t="str">
        <f t="shared" si="13"/>
        <v>valueAxis|secTitleColor</v>
      </c>
      <c r="O320" s="31" t="s">
        <v>302</v>
      </c>
      <c r="P320" s="31" t="s">
        <v>302</v>
      </c>
      <c r="Q320" s="31" t="s">
        <v>302</v>
      </c>
      <c r="R320" s="31" t="s">
        <v>302</v>
      </c>
      <c r="S320" s="31" t="s">
        <v>302</v>
      </c>
      <c r="T320" s="31" t="s">
        <v>302</v>
      </c>
      <c r="U320" s="31" t="s">
        <v>302</v>
      </c>
      <c r="V320" s="31" t="s">
        <v>302</v>
      </c>
      <c r="W320" s="31" t="s">
        <v>302</v>
      </c>
      <c r="X320" s="31" t="s">
        <v>302</v>
      </c>
      <c r="Y320" s="31" t="s">
        <v>302</v>
      </c>
      <c r="Z320" s="31" t="s">
        <v>302</v>
      </c>
      <c r="AA320" s="31" t="s">
        <v>302</v>
      </c>
      <c r="AB320" s="31" t="s">
        <v>302</v>
      </c>
      <c r="AC320" s="31"/>
      <c r="AD320" s="31"/>
      <c r="AE320" s="31"/>
      <c r="AF320" s="31"/>
      <c r="AG320" s="31"/>
      <c r="AH320" s="31"/>
      <c r="AI320" s="31"/>
      <c r="AJ320" s="31"/>
      <c r="AK320" s="31"/>
      <c r="AL320" s="31"/>
      <c r="AM320" s="31"/>
      <c r="AN320" s="31"/>
      <c r="AO320" s="31"/>
      <c r="AP320" s="31"/>
      <c r="AQ320" s="31"/>
      <c r="AR320" s="31"/>
      <c r="AS320" s="31"/>
      <c r="AT320" s="31"/>
      <c r="AU320" s="31"/>
    </row>
    <row r="321" spans="7:47" x14ac:dyDescent="0.25">
      <c r="G321" s="37">
        <f t="shared" si="12"/>
        <v>33</v>
      </c>
      <c r="H321" s="37" t="str">
        <f t="shared" si="14"/>
        <v>K294:K326</v>
      </c>
      <c r="I321" s="33" t="s">
        <v>18</v>
      </c>
      <c r="J321" s="42" t="s">
        <v>133</v>
      </c>
      <c r="K321" s="33" t="s">
        <v>22</v>
      </c>
      <c r="L321" s="42" t="s">
        <v>65</v>
      </c>
      <c r="M321" s="42" t="s">
        <v>307</v>
      </c>
      <c r="N321" s="43" t="str">
        <f t="shared" si="13"/>
        <v>valueAxis|titleFontSize</v>
      </c>
      <c r="O321" s="31" t="s">
        <v>302</v>
      </c>
      <c r="P321" s="31" t="s">
        <v>302</v>
      </c>
      <c r="Q321" s="31" t="s">
        <v>302</v>
      </c>
      <c r="R321" s="31" t="s">
        <v>302</v>
      </c>
      <c r="S321" s="31" t="s">
        <v>302</v>
      </c>
      <c r="T321" s="31" t="s">
        <v>302</v>
      </c>
      <c r="U321" s="31" t="s">
        <v>302</v>
      </c>
      <c r="V321" s="31" t="s">
        <v>302</v>
      </c>
      <c r="W321" s="31" t="s">
        <v>302</v>
      </c>
      <c r="X321" s="31" t="s">
        <v>302</v>
      </c>
      <c r="Y321" s="31" t="s">
        <v>302</v>
      </c>
      <c r="Z321" s="31" t="s">
        <v>302</v>
      </c>
      <c r="AA321" s="31" t="s">
        <v>302</v>
      </c>
      <c r="AB321" s="31" t="s">
        <v>302</v>
      </c>
      <c r="AC321" s="31"/>
      <c r="AD321" s="31"/>
      <c r="AE321" s="31"/>
      <c r="AF321" s="31"/>
      <c r="AG321" s="31"/>
      <c r="AH321" s="31"/>
      <c r="AI321" s="31"/>
      <c r="AJ321" s="31"/>
      <c r="AK321" s="31"/>
      <c r="AL321" s="31"/>
      <c r="AM321" s="31"/>
      <c r="AN321" s="31"/>
      <c r="AO321" s="31"/>
      <c r="AP321" s="31"/>
      <c r="AQ321" s="31"/>
      <c r="AR321" s="31"/>
      <c r="AS321" s="31"/>
      <c r="AT321" s="31"/>
      <c r="AU321" s="31"/>
    </row>
    <row r="322" spans="7:47" x14ac:dyDescent="0.25">
      <c r="G322" s="37">
        <f t="shared" si="12"/>
        <v>33</v>
      </c>
      <c r="H322" s="37" t="str">
        <f t="shared" si="14"/>
        <v>K294:K326</v>
      </c>
      <c r="I322" s="33" t="s">
        <v>18</v>
      </c>
      <c r="J322" s="42" t="s">
        <v>133</v>
      </c>
      <c r="K322" s="33" t="s">
        <v>22</v>
      </c>
      <c r="L322" s="42" t="s">
        <v>332</v>
      </c>
      <c r="M322" s="42" t="s">
        <v>307</v>
      </c>
      <c r="N322" s="43" t="str">
        <f t="shared" si="13"/>
        <v>valueAxis|secTitleFontSize</v>
      </c>
      <c r="O322" s="31" t="s">
        <v>302</v>
      </c>
      <c r="P322" s="31" t="s">
        <v>302</v>
      </c>
      <c r="Q322" s="31" t="s">
        <v>302</v>
      </c>
      <c r="R322" s="31" t="s">
        <v>302</v>
      </c>
      <c r="S322" s="31" t="s">
        <v>302</v>
      </c>
      <c r="T322" s="31" t="s">
        <v>302</v>
      </c>
      <c r="U322" s="31" t="s">
        <v>302</v>
      </c>
      <c r="V322" s="31" t="s">
        <v>302</v>
      </c>
      <c r="W322" s="31" t="s">
        <v>302</v>
      </c>
      <c r="X322" s="31" t="s">
        <v>302</v>
      </c>
      <c r="Y322" s="31" t="s">
        <v>302</v>
      </c>
      <c r="Z322" s="31" t="s">
        <v>302</v>
      </c>
      <c r="AA322" s="31" t="s">
        <v>302</v>
      </c>
      <c r="AB322" s="31" t="s">
        <v>302</v>
      </c>
      <c r="AC322" s="31"/>
      <c r="AD322" s="31"/>
      <c r="AE322" s="31"/>
      <c r="AF322" s="31"/>
      <c r="AG322" s="31"/>
      <c r="AH322" s="31"/>
      <c r="AI322" s="31"/>
      <c r="AJ322" s="31"/>
      <c r="AK322" s="31"/>
      <c r="AL322" s="31"/>
      <c r="AM322" s="31"/>
      <c r="AN322" s="31"/>
      <c r="AO322" s="31"/>
      <c r="AP322" s="31"/>
      <c r="AQ322" s="31"/>
      <c r="AR322" s="31"/>
      <c r="AS322" s="31"/>
      <c r="AT322" s="31"/>
      <c r="AU322" s="31"/>
    </row>
    <row r="323" spans="7:47" x14ac:dyDescent="0.25">
      <c r="G323" s="37">
        <f t="shared" si="12"/>
        <v>33</v>
      </c>
      <c r="H323" s="37" t="str">
        <f t="shared" si="14"/>
        <v>K294:K326</v>
      </c>
      <c r="I323" s="33" t="s">
        <v>18</v>
      </c>
      <c r="J323" s="42" t="s">
        <v>133</v>
      </c>
      <c r="K323" s="33" t="s">
        <v>28</v>
      </c>
      <c r="L323" s="42" t="s">
        <v>312</v>
      </c>
      <c r="M323" s="42" t="s">
        <v>310</v>
      </c>
      <c r="N323" s="43" t="str">
        <f t="shared" si="13"/>
        <v>valueAxis|labelPrecision</v>
      </c>
      <c r="O323" s="31" t="s">
        <v>302</v>
      </c>
      <c r="P323" s="31" t="s">
        <v>302</v>
      </c>
      <c r="Q323" s="31" t="s">
        <v>302</v>
      </c>
      <c r="R323" s="31" t="s">
        <v>302</v>
      </c>
      <c r="S323" s="31" t="s">
        <v>302</v>
      </c>
      <c r="T323" s="31" t="s">
        <v>302</v>
      </c>
      <c r="U323" s="31" t="s">
        <v>302</v>
      </c>
      <c r="V323" s="31" t="s">
        <v>302</v>
      </c>
      <c r="W323" s="31" t="s">
        <v>302</v>
      </c>
      <c r="X323" s="31" t="s">
        <v>302</v>
      </c>
      <c r="Y323" s="31" t="s">
        <v>302</v>
      </c>
      <c r="Z323" s="31" t="s">
        <v>302</v>
      </c>
      <c r="AA323" s="31" t="s">
        <v>302</v>
      </c>
      <c r="AB323" s="31" t="s">
        <v>302</v>
      </c>
      <c r="AC323" s="31"/>
      <c r="AD323" s="31"/>
      <c r="AE323" s="31"/>
      <c r="AF323" s="31"/>
      <c r="AG323" s="31"/>
      <c r="AH323" s="31"/>
      <c r="AI323" s="31"/>
      <c r="AJ323" s="31"/>
      <c r="AK323" s="31"/>
      <c r="AL323" s="31"/>
      <c r="AM323" s="31"/>
      <c r="AN323" s="31"/>
      <c r="AO323" s="31"/>
      <c r="AP323" s="31"/>
      <c r="AQ323" s="31"/>
      <c r="AR323" s="31"/>
      <c r="AS323" s="31"/>
      <c r="AT323" s="31"/>
      <c r="AU323" s="31"/>
    </row>
    <row r="324" spans="7:47" x14ac:dyDescent="0.25">
      <c r="G324" s="37">
        <f t="shared" si="12"/>
        <v>33</v>
      </c>
      <c r="H324" s="37" t="str">
        <f t="shared" si="14"/>
        <v>K294:K326</v>
      </c>
      <c r="I324" s="33" t="s">
        <v>18</v>
      </c>
      <c r="J324" s="42" t="s">
        <v>133</v>
      </c>
      <c r="K324" s="33" t="s">
        <v>28</v>
      </c>
      <c r="L324" s="42" t="s">
        <v>329</v>
      </c>
      <c r="M324" s="42" t="s">
        <v>310</v>
      </c>
      <c r="N324" s="43" t="str">
        <f t="shared" si="13"/>
        <v>valueAxis|secLabelPrecision</v>
      </c>
      <c r="O324" s="31" t="s">
        <v>302</v>
      </c>
      <c r="P324" s="31" t="s">
        <v>302</v>
      </c>
      <c r="Q324" s="31" t="s">
        <v>302</v>
      </c>
      <c r="R324" s="31" t="s">
        <v>302</v>
      </c>
      <c r="S324" s="31" t="s">
        <v>302</v>
      </c>
      <c r="T324" s="31" t="s">
        <v>302</v>
      </c>
      <c r="U324" s="31" t="s">
        <v>302</v>
      </c>
      <c r="V324" s="31" t="s">
        <v>302</v>
      </c>
      <c r="W324" s="31" t="s">
        <v>302</v>
      </c>
      <c r="X324" s="31" t="s">
        <v>302</v>
      </c>
      <c r="Y324" s="31" t="s">
        <v>302</v>
      </c>
      <c r="Z324" s="31" t="s">
        <v>302</v>
      </c>
      <c r="AA324" s="31" t="s">
        <v>302</v>
      </c>
      <c r="AB324" s="31" t="s">
        <v>302</v>
      </c>
      <c r="AC324" s="31"/>
      <c r="AD324" s="31"/>
      <c r="AE324" s="31"/>
      <c r="AF324" s="31"/>
      <c r="AG324" s="31"/>
      <c r="AH324" s="31"/>
      <c r="AI324" s="31"/>
      <c r="AJ324" s="31"/>
      <c r="AK324" s="31"/>
      <c r="AL324" s="31"/>
      <c r="AM324" s="31"/>
      <c r="AN324" s="31"/>
      <c r="AO324" s="31"/>
      <c r="AP324" s="31"/>
      <c r="AQ324" s="31"/>
      <c r="AR324" s="31"/>
      <c r="AS324" s="31"/>
      <c r="AT324" s="31"/>
      <c r="AU324" s="31"/>
    </row>
    <row r="325" spans="7:47" x14ac:dyDescent="0.25">
      <c r="G325" s="37">
        <f t="shared" ref="G325:G330" si="15">COUNTIF(I:I,I325)</f>
        <v>33</v>
      </c>
      <c r="H325" s="37" t="str">
        <f t="shared" si="14"/>
        <v>K294:K326</v>
      </c>
      <c r="I325" s="33" t="s">
        <v>18</v>
      </c>
      <c r="J325" s="42" t="s">
        <v>133</v>
      </c>
      <c r="K325" s="33" t="s">
        <v>437</v>
      </c>
      <c r="L325" s="42" t="s">
        <v>318</v>
      </c>
      <c r="M325" s="42" t="s">
        <v>290</v>
      </c>
      <c r="N325" s="43" t="str">
        <f t="shared" ref="N325:N330" si="16">J325&amp;"|"&amp;L325</f>
        <v>valueAxis|axisLabel</v>
      </c>
      <c r="O325" s="31" t="s">
        <v>302</v>
      </c>
      <c r="P325" s="31" t="s">
        <v>302</v>
      </c>
      <c r="Q325" s="31" t="s">
        <v>302</v>
      </c>
      <c r="R325" s="31" t="s">
        <v>302</v>
      </c>
      <c r="S325" s="31" t="s">
        <v>302</v>
      </c>
      <c r="T325" s="31" t="s">
        <v>302</v>
      </c>
      <c r="U325" s="31" t="s">
        <v>302</v>
      </c>
      <c r="V325" s="31" t="s">
        <v>302</v>
      </c>
      <c r="W325" s="31" t="s">
        <v>302</v>
      </c>
      <c r="X325" s="31" t="s">
        <v>302</v>
      </c>
      <c r="Y325" s="31" t="s">
        <v>302</v>
      </c>
      <c r="Z325" s="31" t="s">
        <v>302</v>
      </c>
      <c r="AA325" s="31" t="s">
        <v>302</v>
      </c>
      <c r="AB325" s="31" t="s">
        <v>302</v>
      </c>
      <c r="AC325" s="31"/>
      <c r="AD325" s="31"/>
      <c r="AE325" s="31"/>
      <c r="AF325" s="31"/>
      <c r="AG325" s="31"/>
      <c r="AH325" s="31"/>
      <c r="AI325" s="31"/>
      <c r="AJ325" s="31"/>
      <c r="AK325" s="31"/>
      <c r="AL325" s="31"/>
      <c r="AM325" s="31"/>
      <c r="AN325" s="31"/>
      <c r="AO325" s="31"/>
      <c r="AP325" s="31"/>
      <c r="AQ325" s="31"/>
      <c r="AR325" s="31"/>
      <c r="AS325" s="31"/>
      <c r="AT325" s="31"/>
      <c r="AU325" s="31"/>
    </row>
    <row r="326" spans="7:47" x14ac:dyDescent="0.25">
      <c r="G326" s="37">
        <f t="shared" si="15"/>
        <v>33</v>
      </c>
      <c r="H326" s="37" t="str">
        <f>IF(I326=I325,H325,"K"&amp;ROW()&amp;":K"&amp;ROW()+G326-1)</f>
        <v>K294:K326</v>
      </c>
      <c r="I326" s="33" t="s">
        <v>18</v>
      </c>
      <c r="J326" s="42" t="s">
        <v>133</v>
      </c>
      <c r="K326" s="33" t="s">
        <v>440</v>
      </c>
      <c r="L326" s="42" t="s">
        <v>321</v>
      </c>
      <c r="M326" s="42" t="s">
        <v>290</v>
      </c>
      <c r="N326" s="43" t="str">
        <f t="shared" si="16"/>
        <v>valueAxis|secAxisLabel</v>
      </c>
      <c r="O326" s="31" t="s">
        <v>302</v>
      </c>
      <c r="P326" s="31" t="s">
        <v>302</v>
      </c>
      <c r="Q326" s="31" t="s">
        <v>302</v>
      </c>
      <c r="R326" s="31" t="s">
        <v>302</v>
      </c>
      <c r="S326" s="31" t="s">
        <v>302</v>
      </c>
      <c r="T326" s="31" t="s">
        <v>302</v>
      </c>
      <c r="U326" s="31" t="s">
        <v>302</v>
      </c>
      <c r="V326" s="31" t="s">
        <v>302</v>
      </c>
      <c r="W326" s="31" t="s">
        <v>302</v>
      </c>
      <c r="X326" s="31" t="s">
        <v>302</v>
      </c>
      <c r="Y326" s="31" t="s">
        <v>302</v>
      </c>
      <c r="Z326" s="31" t="s">
        <v>302</v>
      </c>
      <c r="AA326" s="31" t="s">
        <v>302</v>
      </c>
      <c r="AB326" s="31" t="s">
        <v>302</v>
      </c>
      <c r="AC326" s="31"/>
      <c r="AD326" s="31"/>
      <c r="AE326" s="31"/>
      <c r="AF326" s="31"/>
      <c r="AG326" s="31"/>
      <c r="AH326" s="31"/>
      <c r="AI326" s="31"/>
      <c r="AJ326" s="31"/>
      <c r="AK326" s="31"/>
      <c r="AL326" s="31"/>
      <c r="AM326" s="31"/>
      <c r="AN326" s="31"/>
      <c r="AO326" s="31"/>
      <c r="AP326" s="31"/>
      <c r="AQ326" s="31"/>
      <c r="AR326" s="31"/>
      <c r="AS326" s="31"/>
      <c r="AT326" s="31"/>
      <c r="AU326" s="31"/>
    </row>
    <row r="327" spans="7:47" x14ac:dyDescent="0.25">
      <c r="G327" s="37">
        <f t="shared" si="15"/>
        <v>4</v>
      </c>
      <c r="H327" s="37" t="str">
        <f>IF(I327=I326,H326,"K"&amp;ROW()&amp;":K"&amp;ROW()+G327-1)</f>
        <v>K327:K330</v>
      </c>
      <c r="I327" s="33" t="s">
        <v>178</v>
      </c>
      <c r="J327" s="42" t="s">
        <v>137</v>
      </c>
      <c r="K327" s="33" t="s">
        <v>467</v>
      </c>
      <c r="L327" s="42" t="s">
        <v>371</v>
      </c>
      <c r="M327" s="42" t="s">
        <v>304</v>
      </c>
      <c r="N327" s="43" t="str">
        <f t="shared" si="16"/>
        <v>zoom|autoZoom</v>
      </c>
      <c r="O327" s="31" t="s">
        <v>302</v>
      </c>
      <c r="P327" s="31" t="s">
        <v>302</v>
      </c>
      <c r="Q327" s="31" t="s">
        <v>302</v>
      </c>
      <c r="R327" s="31" t="s">
        <v>302</v>
      </c>
      <c r="S327" s="31" t="s">
        <v>302</v>
      </c>
      <c r="T327" s="31" t="s">
        <v>302</v>
      </c>
      <c r="U327" s="31" t="s">
        <v>302</v>
      </c>
      <c r="V327" s="31" t="s">
        <v>302</v>
      </c>
      <c r="W327" s="31" t="s">
        <v>302</v>
      </c>
      <c r="X327" s="31" t="s">
        <v>302</v>
      </c>
      <c r="Y327" s="31" t="s">
        <v>302</v>
      </c>
      <c r="Z327" s="31" t="s">
        <v>302</v>
      </c>
      <c r="AA327" s="31" t="s">
        <v>302</v>
      </c>
      <c r="AB327" s="31" t="s">
        <v>302</v>
      </c>
      <c r="AC327" s="31"/>
      <c r="AD327" s="31"/>
      <c r="AE327" s="31"/>
      <c r="AF327" s="31"/>
      <c r="AG327" s="31"/>
      <c r="AH327" s="31"/>
      <c r="AI327" s="31"/>
      <c r="AJ327" s="31"/>
      <c r="AK327" s="31"/>
      <c r="AL327" s="31"/>
      <c r="AM327" s="31"/>
      <c r="AN327" s="31"/>
      <c r="AO327" s="31"/>
      <c r="AP327" s="31"/>
      <c r="AQ327" s="31"/>
      <c r="AR327" s="31"/>
      <c r="AS327" s="31"/>
      <c r="AT327" s="31"/>
      <c r="AU327" s="31"/>
    </row>
    <row r="328" spans="7:47" x14ac:dyDescent="0.25">
      <c r="G328" s="37">
        <f t="shared" si="15"/>
        <v>4</v>
      </c>
      <c r="H328" s="37" t="str">
        <f>IF(I328=I327,H327,"K"&amp;ROW()&amp;":K"&amp;ROW()+G328-1)</f>
        <v>K327:K330</v>
      </c>
      <c r="I328" s="33" t="s">
        <v>178</v>
      </c>
      <c r="J328" s="42" t="s">
        <v>137</v>
      </c>
      <c r="K328" s="33" t="s">
        <v>469</v>
      </c>
      <c r="L328" s="42" t="s">
        <v>375</v>
      </c>
      <c r="M328" s="42" t="s">
        <v>304</v>
      </c>
      <c r="N328" s="43" t="str">
        <f t="shared" si="16"/>
        <v>zoom|manualZoom</v>
      </c>
      <c r="O328" s="31" t="s">
        <v>302</v>
      </c>
      <c r="P328" s="31" t="s">
        <v>302</v>
      </c>
      <c r="Q328" s="31" t="s">
        <v>302</v>
      </c>
      <c r="R328" s="31" t="s">
        <v>302</v>
      </c>
      <c r="S328" s="31" t="s">
        <v>302</v>
      </c>
      <c r="T328" s="31" t="s">
        <v>302</v>
      </c>
      <c r="U328" s="31" t="s">
        <v>302</v>
      </c>
      <c r="V328" s="31" t="s">
        <v>302</v>
      </c>
      <c r="W328" s="31" t="s">
        <v>302</v>
      </c>
      <c r="X328" s="31" t="s">
        <v>302</v>
      </c>
      <c r="Y328" s="31" t="s">
        <v>302</v>
      </c>
      <c r="Z328" s="31" t="s">
        <v>302</v>
      </c>
      <c r="AA328" s="31" t="s">
        <v>302</v>
      </c>
      <c r="AB328" s="31" t="s">
        <v>302</v>
      </c>
      <c r="AC328" s="31"/>
      <c r="AD328" s="31"/>
      <c r="AE328" s="31"/>
      <c r="AF328" s="31"/>
      <c r="AG328" s="31"/>
      <c r="AH328" s="31"/>
      <c r="AI328" s="31"/>
      <c r="AJ328" s="31"/>
      <c r="AK328" s="31"/>
      <c r="AL328" s="31"/>
      <c r="AM328" s="31"/>
      <c r="AN328" s="31"/>
      <c r="AO328" s="31"/>
      <c r="AP328" s="31"/>
      <c r="AQ328" s="31"/>
      <c r="AR328" s="31"/>
      <c r="AS328" s="31"/>
      <c r="AT328" s="31"/>
      <c r="AU328" s="31"/>
    </row>
    <row r="329" spans="7:47" x14ac:dyDescent="0.25">
      <c r="G329" s="37">
        <f t="shared" si="15"/>
        <v>4</v>
      </c>
      <c r="H329" s="37" t="str">
        <f>IF(I329=I328,H328,"K"&amp;ROW()&amp;":K"&amp;ROW()+G329-1)</f>
        <v>K327:K330</v>
      </c>
      <c r="I329" s="33" t="s">
        <v>178</v>
      </c>
      <c r="J329" s="42" t="s">
        <v>137</v>
      </c>
      <c r="K329" s="33" t="s">
        <v>373</v>
      </c>
      <c r="L329" s="42" t="s">
        <v>241</v>
      </c>
      <c r="M329" s="42" t="s">
        <v>305</v>
      </c>
      <c r="N329" s="43" t="str">
        <f t="shared" si="16"/>
        <v>zoom|projectionEnum</v>
      </c>
      <c r="O329" s="31" t="s">
        <v>302</v>
      </c>
      <c r="P329" s="31" t="s">
        <v>302</v>
      </c>
      <c r="Q329" s="31" t="s">
        <v>302</v>
      </c>
      <c r="R329" s="31" t="s">
        <v>302</v>
      </c>
      <c r="S329" s="31" t="s">
        <v>302</v>
      </c>
      <c r="T329" s="31" t="s">
        <v>302</v>
      </c>
      <c r="U329" s="31" t="s">
        <v>302</v>
      </c>
      <c r="V329" s="31" t="s">
        <v>302</v>
      </c>
      <c r="W329" s="31" t="s">
        <v>302</v>
      </c>
      <c r="X329" s="31" t="s">
        <v>302</v>
      </c>
      <c r="Y329" s="31" t="s">
        <v>302</v>
      </c>
      <c r="Z329" s="31" t="s">
        <v>302</v>
      </c>
      <c r="AA329" s="31" t="s">
        <v>302</v>
      </c>
      <c r="AB329" s="31" t="s">
        <v>302</v>
      </c>
      <c r="AC329" s="31"/>
      <c r="AD329" s="31"/>
      <c r="AE329" s="31"/>
      <c r="AF329" s="31"/>
      <c r="AG329" s="31"/>
      <c r="AH329" s="31"/>
      <c r="AI329" s="31"/>
      <c r="AJ329" s="31"/>
      <c r="AK329" s="31"/>
      <c r="AL329" s="31"/>
      <c r="AM329" s="31"/>
      <c r="AN329" s="31"/>
      <c r="AO329" s="31"/>
      <c r="AP329" s="31"/>
      <c r="AQ329" s="31"/>
      <c r="AR329" s="31"/>
      <c r="AS329" s="31"/>
      <c r="AT329" s="31"/>
      <c r="AU329" s="31"/>
    </row>
    <row r="330" spans="7:47" x14ac:dyDescent="0.25">
      <c r="G330" s="37">
        <f t="shared" si="15"/>
        <v>4</v>
      </c>
      <c r="H330" s="37" t="str">
        <f>IF(I330=I329,H329,"K"&amp;ROW()&amp;":K"&amp;ROW()+G330-1)</f>
        <v>K327:K330</v>
      </c>
      <c r="I330" s="33" t="s">
        <v>178</v>
      </c>
      <c r="J330" s="42" t="s">
        <v>137</v>
      </c>
      <c r="K330" s="33" t="s">
        <v>468</v>
      </c>
      <c r="L330" s="42" t="s">
        <v>374</v>
      </c>
      <c r="M330" s="42" t="s">
        <v>304</v>
      </c>
      <c r="N330" s="43" t="str">
        <f t="shared" si="16"/>
        <v>zoom|selectionZoom</v>
      </c>
      <c r="O330" s="31" t="s">
        <v>302</v>
      </c>
      <c r="P330" s="31" t="s">
        <v>302</v>
      </c>
      <c r="Q330" s="31" t="s">
        <v>302</v>
      </c>
      <c r="R330" s="31" t="s">
        <v>302</v>
      </c>
      <c r="S330" s="31" t="s">
        <v>302</v>
      </c>
      <c r="T330" s="31" t="s">
        <v>302</v>
      </c>
      <c r="U330" s="31" t="s">
        <v>302</v>
      </c>
      <c r="V330" s="31" t="s">
        <v>302</v>
      </c>
      <c r="W330" s="31" t="s">
        <v>302</v>
      </c>
      <c r="X330" s="31" t="s">
        <v>302</v>
      </c>
      <c r="Y330" s="31" t="s">
        <v>302</v>
      </c>
      <c r="Z330" s="31" t="s">
        <v>302</v>
      </c>
      <c r="AA330" s="31" t="s">
        <v>302</v>
      </c>
      <c r="AB330" s="31" t="s">
        <v>302</v>
      </c>
      <c r="AC330" s="31"/>
      <c r="AD330" s="31"/>
      <c r="AE330" s="31"/>
      <c r="AF330" s="31"/>
      <c r="AG330" s="31"/>
      <c r="AH330" s="31"/>
      <c r="AI330" s="31"/>
      <c r="AJ330" s="31"/>
      <c r="AK330" s="31"/>
      <c r="AL330" s="31"/>
      <c r="AM330" s="31"/>
      <c r="AN330" s="31"/>
      <c r="AO330" s="31"/>
      <c r="AP330" s="31"/>
      <c r="AQ330" s="31"/>
      <c r="AR330" s="31"/>
      <c r="AS330" s="31"/>
      <c r="AT330" s="31"/>
      <c r="AU330" s="31"/>
    </row>
  </sheetData>
  <sortState xmlns:xlrd2="http://schemas.microsoft.com/office/spreadsheetml/2017/richdata2" ref="I2:AI3167">
    <sortCondition ref="I5:I3167"/>
    <sortCondition ref="K5:K316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Notes</vt:lpstr>
      <vt:lpstr>Design</vt:lpstr>
      <vt:lpstr>Elements</vt:lpstr>
      <vt:lpstr>accent_1</vt:lpstr>
      <vt:lpstr>accent_2</vt:lpstr>
      <vt:lpstr>accent_3</vt:lpstr>
      <vt:lpstr>accent_4</vt:lpstr>
      <vt:lpstr>accent_5</vt:lpstr>
      <vt:lpstr>accent_6</vt:lpstr>
      <vt:lpstr>dark_1</vt:lpstr>
      <vt:lpstr>dark_2</vt:lpstr>
      <vt:lpstr>followed_hyperlink</vt:lpstr>
      <vt:lpstr>Font</vt:lpstr>
      <vt:lpstr>hyperlink</vt:lpstr>
      <vt:lpstr>light_1</vt:lpstr>
      <vt:lpstr>light_2</vt:lpstr>
      <vt:lpstr>TextForJSON</vt:lpstr>
      <vt:lpstr>ThemeName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Tappan</dc:creator>
  <cp:lastModifiedBy>Tony Duguid</cp:lastModifiedBy>
  <dcterms:created xsi:type="dcterms:W3CDTF">2017-10-17T00:41:04Z</dcterms:created>
  <dcterms:modified xsi:type="dcterms:W3CDTF">2019-11-28T22:05:21Z</dcterms:modified>
</cp:coreProperties>
</file>